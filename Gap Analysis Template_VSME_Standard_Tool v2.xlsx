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G:\.shortcut-targets-by-id\173HhEE3LJoxj58Alz8zH0AIsqng_HYo8\DILIGEA - GENERALE\Biblioteca Diligente\07 - Templates\"/>
    </mc:Choice>
  </mc:AlternateContent>
  <xr:revisionPtr revIDLastSave="0" documentId="13_ncr:1_{8A367D2F-0E45-40F9-9E15-81BA5FC0E7B5}" xr6:coauthVersionLast="47" xr6:coauthVersionMax="47" xr10:uidLastSave="{00000000-0000-0000-0000-000000000000}"/>
  <bookViews>
    <workbookView xWindow="28680" yWindow="-120" windowWidth="29040" windowHeight="15720" xr2:uid="{00000000-000D-0000-FFFF-FFFF00000000}"/>
  </bookViews>
  <sheets>
    <sheet name="Sheet2" sheetId="4" r:id="rId1"/>
    <sheet name="Tables " sheetId="3" r:id="rId2"/>
    <sheet name="Support" sheetId="6" r:id="rId3"/>
    <sheet name="Checklist_General_Information" sheetId="5" r:id="rId4"/>
    <sheet name="Checklist_Environment" sheetId="7" r:id="rId5"/>
    <sheet name="Checklist_Governance" sheetId="9" r:id="rId6"/>
    <sheet name="Checklist_Social" sheetId="8" r:id="rId7"/>
    <sheet name="DASHBOARD" sheetId="16" r:id="rId8"/>
  </sheets>
  <definedNames>
    <definedName name="_xlnm._FilterDatabase" localSheetId="4" hidden="1">Checklist_Environment!$B$3:$K$3</definedName>
    <definedName name="_xlnm._FilterDatabase" localSheetId="3" hidden="1">Checklist_General_Information!$B$3:$K$3</definedName>
    <definedName name="_xlnm._FilterDatabase" localSheetId="5" hidden="1">Checklist_Governance!$B$3:$K$3</definedName>
    <definedName name="_xlnm._FilterDatabase" localSheetId="6" hidden="1">Checklist_Social!$B$3:$K$3</definedName>
    <definedName name="_xlnm._FilterDatabase" localSheetId="0" hidden="1">Sheet2!$A$1:$L$412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1" i="16" l="1"/>
  <c r="E51" i="16"/>
  <c r="D51" i="16"/>
  <c r="F50" i="16"/>
  <c r="E50" i="16"/>
  <c r="D50" i="16"/>
  <c r="F46" i="16"/>
  <c r="E46" i="16"/>
  <c r="D46" i="16"/>
  <c r="F45" i="16"/>
  <c r="E45" i="16"/>
  <c r="D45" i="16"/>
  <c r="F41" i="16"/>
  <c r="D41" i="16"/>
  <c r="C41" i="16"/>
  <c r="F36" i="16"/>
  <c r="E36" i="16"/>
  <c r="F35" i="16"/>
  <c r="F29" i="16"/>
  <c r="E29" i="16"/>
  <c r="D29" i="16"/>
  <c r="F28" i="16"/>
  <c r="E28" i="16"/>
  <c r="D28" i="16"/>
  <c r="F27" i="16"/>
  <c r="D27" i="16"/>
  <c r="C27" i="16"/>
  <c r="F26" i="16"/>
  <c r="E26" i="16"/>
  <c r="F19" i="16"/>
  <c r="E19" i="16"/>
  <c r="D19" i="16"/>
  <c r="F18" i="16"/>
  <c r="E18" i="16"/>
  <c r="D18" i="16"/>
  <c r="F16" i="16"/>
  <c r="D52" i="16" l="1"/>
  <c r="D47" i="16"/>
  <c r="F52" i="16"/>
  <c r="E47" i="16"/>
  <c r="F37" i="16"/>
  <c r="E52" i="16"/>
  <c r="F47" i="16"/>
  <c r="F30" i="16"/>
  <c r="B4" i="7" l="1" a="1"/>
  <c r="B4" i="7" s="1"/>
  <c r="D4" i="7" s="1"/>
  <c r="B4" i="5" a="1"/>
  <c r="B4" i="5" s="1"/>
  <c r="D4" i="5" s="1"/>
  <c r="D10" i="5" l="1"/>
  <c r="D9" i="5"/>
  <c r="D8" i="5"/>
  <c r="D11" i="5"/>
  <c r="D7" i="5"/>
  <c r="D6" i="5"/>
  <c r="D5" i="5"/>
  <c r="C16" i="16" l="1"/>
  <c r="C35" i="16"/>
  <c r="E16" i="16"/>
  <c r="E35" i="16"/>
  <c r="E37" i="16" s="1"/>
  <c r="D35" i="16"/>
  <c r="D16" i="16"/>
  <c r="G16" i="16" s="1"/>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25" i="4"/>
  <c r="F26" i="4"/>
  <c r="F27" i="4"/>
  <c r="F28" i="4"/>
  <c r="F29" i="4"/>
  <c r="F30" i="4"/>
  <c r="F31" i="4"/>
  <c r="F32" i="4"/>
  <c r="F33" i="4"/>
  <c r="F34" i="4"/>
  <c r="F35" i="4"/>
  <c r="F36" i="4"/>
  <c r="F37" i="4"/>
  <c r="F38" i="4"/>
  <c r="F39" i="4"/>
  <c r="F40" i="4"/>
  <c r="F41" i="4"/>
  <c r="F42" i="4"/>
  <c r="F43" i="4"/>
  <c r="F44" i="4"/>
  <c r="F45"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9" i="4"/>
  <c r="F320" i="4"/>
  <c r="F321" i="4"/>
  <c r="F322" i="4"/>
  <c r="F323" i="4"/>
  <c r="F324" i="4"/>
  <c r="F325" i="4"/>
  <c r="F326" i="4"/>
  <c r="F327" i="4"/>
  <c r="F328" i="4"/>
  <c r="F329"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23" i="4"/>
  <c r="F24" i="4"/>
  <c r="F3" i="4"/>
  <c r="F4" i="4"/>
  <c r="F5" i="4"/>
  <c r="F6" i="4"/>
  <c r="F7" i="4"/>
  <c r="F8" i="4"/>
  <c r="F9" i="4"/>
  <c r="F10" i="4"/>
  <c r="F11" i="4"/>
  <c r="F12" i="4"/>
  <c r="F13" i="4"/>
  <c r="F14" i="4"/>
  <c r="F15" i="4"/>
  <c r="F16" i="4"/>
  <c r="F17" i="4"/>
  <c r="F18" i="4"/>
  <c r="F19" i="4"/>
  <c r="F20" i="4"/>
  <c r="F21" i="4"/>
  <c r="F22" i="4"/>
  <c r="F2" i="4"/>
  <c r="D6" i="16"/>
  <c r="F10" i="16"/>
  <c r="E10" i="16"/>
  <c r="D10" i="16"/>
  <c r="E9" i="16"/>
  <c r="D9" i="16"/>
  <c r="F9" i="16"/>
  <c r="F8" i="16"/>
  <c r="E8" i="16"/>
  <c r="D8" i="16"/>
  <c r="E7" i="16"/>
  <c r="F7" i="16"/>
  <c r="D7" i="16"/>
  <c r="F6" i="16"/>
  <c r="C6" i="16"/>
  <c r="F4" i="16"/>
  <c r="D3" i="16"/>
  <c r="F3" i="16"/>
  <c r="H4" i="9" a="1"/>
  <c r="H4" i="9" s="1"/>
  <c r="J4" i="9" s="1"/>
  <c r="B4" i="9" a="1"/>
  <c r="B4" i="9" s="1"/>
  <c r="D4" i="9" s="1"/>
  <c r="H4" i="8" a="1"/>
  <c r="H4" i="8" s="1"/>
  <c r="J4" i="8" s="1"/>
  <c r="B4" i="8" a="1"/>
  <c r="B4" i="8" s="1"/>
  <c r="D4" i="8" s="1"/>
  <c r="H4" i="7" a="1"/>
  <c r="H4" i="7" s="1"/>
  <c r="J4" i="7" s="1"/>
  <c r="H4" i="5" a="1"/>
  <c r="H4" i="5" s="1"/>
  <c r="J4" i="5" s="1"/>
  <c r="E404" i="4"/>
  <c r="E405" i="4"/>
  <c r="E406" i="4"/>
  <c r="E407" i="4"/>
  <c r="C10" i="8"/>
  <c r="C6" i="9"/>
  <c r="I11" i="8"/>
  <c r="I12" i="8"/>
  <c r="I13" i="8"/>
  <c r="I14" i="8"/>
  <c r="I13" i="7"/>
  <c r="I14" i="7"/>
  <c r="I15" i="7"/>
  <c r="I16" i="7"/>
  <c r="C9" i="16" l="1"/>
  <c r="C19" i="16"/>
  <c r="G19" i="16" s="1"/>
  <c r="C50" i="16"/>
  <c r="G35" i="16"/>
  <c r="D22" i="7"/>
  <c r="D10" i="7"/>
  <c r="D21" i="7"/>
  <c r="D9" i="7"/>
  <c r="D20" i="7"/>
  <c r="D8" i="7"/>
  <c r="D19" i="7"/>
  <c r="D7" i="7"/>
  <c r="J10" i="7"/>
  <c r="D6" i="8"/>
  <c r="J9" i="7"/>
  <c r="D5" i="8"/>
  <c r="E4" i="16"/>
  <c r="J8" i="7"/>
  <c r="J7" i="5"/>
  <c r="J7" i="7"/>
  <c r="J5" i="9"/>
  <c r="C10" i="16" s="1"/>
  <c r="J6" i="5"/>
  <c r="J6" i="7"/>
  <c r="E41" i="16" s="1"/>
  <c r="G41" i="16" s="1"/>
  <c r="D18" i="7"/>
  <c r="D6" i="7"/>
  <c r="J5" i="5"/>
  <c r="C36" i="16" s="1"/>
  <c r="J5" i="7"/>
  <c r="J7" i="8"/>
  <c r="D17" i="7"/>
  <c r="D5" i="7"/>
  <c r="J6" i="8"/>
  <c r="D16" i="7"/>
  <c r="D15" i="7"/>
  <c r="D14" i="7"/>
  <c r="D13" i="7"/>
  <c r="E3" i="16"/>
  <c r="J12" i="7"/>
  <c r="D12" i="7"/>
  <c r="J5" i="8"/>
  <c r="J11" i="7"/>
  <c r="D11" i="7"/>
  <c r="C23" i="7"/>
  <c r="C31" i="7"/>
  <c r="C39" i="7"/>
  <c r="C27" i="7"/>
  <c r="C35" i="7"/>
  <c r="C28" i="7"/>
  <c r="C36" i="7"/>
  <c r="C37" i="7"/>
  <c r="C30" i="7"/>
  <c r="C38" i="7"/>
  <c r="C24" i="7"/>
  <c r="C32" i="7"/>
  <c r="C40" i="7"/>
  <c r="C25" i="7"/>
  <c r="C33" i="7"/>
  <c r="C41" i="7"/>
  <c r="C26" i="7"/>
  <c r="C34" i="7"/>
  <c r="C42" i="7"/>
  <c r="C29" i="7"/>
  <c r="E403" i="4"/>
  <c r="E402" i="4"/>
  <c r="E401" i="4"/>
  <c r="E400" i="4"/>
  <c r="C45" i="16" l="1"/>
  <c r="E27" i="16"/>
  <c r="G27" i="16" s="1"/>
  <c r="C18" i="16"/>
  <c r="G18" i="16" s="1"/>
  <c r="C46" i="16"/>
  <c r="G46" i="16" s="1"/>
  <c r="C37" i="16"/>
  <c r="C26" i="16"/>
  <c r="G50" i="16"/>
  <c r="E17" i="16"/>
  <c r="E20" i="16" s="1"/>
  <c r="E40" i="16"/>
  <c r="E42" i="16" s="1"/>
  <c r="F5" i="16"/>
  <c r="F40" i="16"/>
  <c r="F42" i="16" s="1"/>
  <c r="F17" i="16"/>
  <c r="F20" i="16" s="1"/>
  <c r="D36" i="16"/>
  <c r="D37" i="16" s="1"/>
  <c r="D26" i="16"/>
  <c r="D30" i="16" s="1"/>
  <c r="D17" i="16"/>
  <c r="D20" i="16" s="1"/>
  <c r="D40" i="16"/>
  <c r="D42" i="16" s="1"/>
  <c r="C51" i="16"/>
  <c r="G51" i="16" s="1"/>
  <c r="C5" i="16"/>
  <c r="C17" i="16"/>
  <c r="C40" i="16"/>
  <c r="C29" i="16"/>
  <c r="G29" i="16" s="1"/>
  <c r="C28" i="16"/>
  <c r="G28" i="16" s="1"/>
  <c r="G45" i="16"/>
  <c r="E6" i="16"/>
  <c r="G6" i="16" s="1"/>
  <c r="D5" i="16"/>
  <c r="E5" i="16"/>
  <c r="D4" i="16"/>
  <c r="C4" i="16"/>
  <c r="C3" i="16"/>
  <c r="G3" i="16" s="1"/>
  <c r="C7" i="16"/>
  <c r="G7" i="16" s="1"/>
  <c r="C8" i="16"/>
  <c r="G8" i="16" s="1"/>
  <c r="G9" i="16"/>
  <c r="G10" i="16"/>
  <c r="E30" i="16" l="1"/>
  <c r="C47" i="16"/>
  <c r="C42" i="16"/>
  <c r="G40" i="16"/>
  <c r="C30" i="16"/>
  <c r="G26" i="16"/>
  <c r="G30" i="16" s="1"/>
  <c r="C20" i="16"/>
  <c r="G17" i="16"/>
  <c r="G20" i="16" s="1"/>
  <c r="G21" i="16" s="1"/>
  <c r="G47" i="16"/>
  <c r="H45" i="16" s="1"/>
  <c r="G37" i="16"/>
  <c r="G52" i="16"/>
  <c r="H52" i="16" s="1"/>
  <c r="C52" i="16"/>
  <c r="G36" i="16"/>
  <c r="G4" i="16"/>
  <c r="F11" i="16"/>
  <c r="E11" i="16"/>
  <c r="D11" i="16"/>
  <c r="H36" i="16" l="1"/>
  <c r="D21" i="16"/>
  <c r="F31" i="16"/>
  <c r="G31" i="16"/>
  <c r="E31" i="16"/>
  <c r="C31" i="16"/>
  <c r="C21" i="16"/>
  <c r="H50" i="16"/>
  <c r="H37" i="16"/>
  <c r="H35" i="16"/>
  <c r="D31" i="16"/>
  <c r="F21" i="16"/>
  <c r="E21" i="16"/>
  <c r="H51" i="16"/>
  <c r="H47" i="16"/>
  <c r="H46" i="16"/>
  <c r="G42" i="16"/>
  <c r="G5" i="16"/>
  <c r="C11" i="16"/>
  <c r="H42" i="16" l="1"/>
  <c r="H41" i="16"/>
  <c r="H40" i="16"/>
  <c r="G11" i="16"/>
  <c r="H5" i="16" l="1"/>
  <c r="H27" i="16"/>
  <c r="H16" i="16"/>
  <c r="H29" i="16"/>
  <c r="H19" i="16"/>
  <c r="H28" i="16"/>
  <c r="H17" i="16"/>
  <c r="H26" i="16"/>
  <c r="H18" i="16"/>
  <c r="C12" i="16"/>
  <c r="G12" i="16"/>
  <c r="H11" i="16"/>
  <c r="H8" i="16"/>
  <c r="H3" i="16"/>
  <c r="H10" i="16"/>
  <c r="H9" i="16"/>
  <c r="H6" i="16"/>
  <c r="H7" i="16"/>
  <c r="F12" i="16"/>
  <c r="E12" i="16"/>
  <c r="D12" i="16"/>
  <c r="H4" i="1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futureMetadata>
  <futureMetadata name="XLDAPR" count="1">
    <bk>
      <extLst>
        <ext uri="{bdbb8cdc-fa1e-496e-a857-3c3f30c029c3}">
          <xda:dynamicArrayProperties fDynamic="1" fCollapsed="0"/>
        </ext>
      </extLst>
    </bk>
  </futureMetadata>
  <cellMetadata count="1">
    <bk>
      <rc t="2" v="0"/>
    </bk>
  </cell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<sst xmlns="http://schemas.openxmlformats.org/spreadsheetml/2006/main" count="3562" uniqueCount="818">
  <si>
    <t>Paragrafo</t>
  </si>
  <si>
    <t>21</t>
  </si>
  <si>
    <t>23</t>
  </si>
  <si>
    <t>29</t>
  </si>
  <si>
    <t>30</t>
  </si>
  <si>
    <t>31</t>
  </si>
  <si>
    <t>33</t>
  </si>
  <si>
    <t>34</t>
  </si>
  <si>
    <t>35</t>
  </si>
  <si>
    <t>36</t>
  </si>
  <si>
    <t>37</t>
  </si>
  <si>
    <t>38</t>
  </si>
  <si>
    <t>39</t>
  </si>
  <si>
    <t>40</t>
  </si>
  <si>
    <t>42</t>
  </si>
  <si>
    <t>43</t>
  </si>
  <si>
    <t>45</t>
  </si>
  <si>
    <t>46</t>
  </si>
  <si>
    <t>47</t>
  </si>
  <si>
    <t>48</t>
  </si>
  <si>
    <t>49</t>
  </si>
  <si>
    <t>50</t>
  </si>
  <si>
    <t>51</t>
  </si>
  <si>
    <t>52</t>
  </si>
  <si>
    <t>53</t>
  </si>
  <si>
    <t>54</t>
  </si>
  <si>
    <t>55</t>
  </si>
  <si>
    <t>56</t>
  </si>
  <si>
    <t>58</t>
  </si>
  <si>
    <t>59</t>
  </si>
  <si>
    <t>60</t>
  </si>
  <si>
    <t>62</t>
  </si>
  <si>
    <t>63</t>
  </si>
  <si>
    <t>65</t>
  </si>
  <si>
    <r>
      <t xml:space="preserve">The undertaking shall report on its environmental, social and </t>
    </r>
    <r>
      <rPr>
        <b/>
        <i/>
        <sz val="9.9499999999999993"/>
        <color rgb="FF1B1B1B"/>
        <rFont val="Arial"/>
        <family val="2"/>
      </rPr>
      <t xml:space="preserve">business conduct </t>
    </r>
    <r>
      <rPr>
        <sz val="9.9499999999999993"/>
        <color rgb="FF1B1B1B"/>
        <rFont val="Arial"/>
        <family val="2"/>
      </rPr>
      <t xml:space="preserve">issues (together  ‘sustainability issues’) using the B1 to B11 disclosures below.  </t>
    </r>
  </si>
  <si>
    <t xml:space="preserve">Additional guidance on disclosures B1 to B11 is available in paragraphs 66 to 209. </t>
  </si>
  <si>
    <t>Basic</t>
  </si>
  <si>
    <t>Set-up</t>
  </si>
  <si>
    <t>General Information</t>
  </si>
  <si>
    <t xml:space="preserve">B1 </t>
  </si>
  <si>
    <t>Basis for preparation</t>
  </si>
  <si>
    <t>The undertaking shall disclose: </t>
  </si>
  <si>
    <r>
      <t xml:space="preserve">(a) </t>
    </r>
    <r>
      <rPr>
        <sz val="9.9499999999999993"/>
        <color rgb="FF1B1B1B"/>
        <rFont val="Arial"/>
        <family val="2"/>
      </rPr>
      <t>which of the following options it has selected: </t>
    </r>
  </si>
  <si>
    <t>i. OPTION A: Basic Module (only); or </t>
  </si>
  <si>
    <t>ii. OPTION B: Basic Module and Comprehensive Module; </t>
  </si>
  <si>
    <r>
      <t xml:space="preserve">(b) </t>
    </r>
    <r>
      <rPr>
        <sz val="9.9499999999999993"/>
        <color rgb="FF1B1B1B"/>
        <rFont val="Arial"/>
        <family val="2"/>
      </rPr>
      <t xml:space="preserve">if the undertaking has omitted a disclosure as it is deemed </t>
    </r>
    <r>
      <rPr>
        <b/>
        <i/>
        <sz val="9.9499999999999993"/>
        <color rgb="FF1B1B1B"/>
        <rFont val="Arial"/>
        <family val="2"/>
      </rPr>
      <t xml:space="preserve">classified </t>
    </r>
    <r>
      <rPr>
        <sz val="9.9499999999999993"/>
        <color rgb="FF1B1B1B"/>
        <rFont val="Arial"/>
        <family val="2"/>
      </rPr>
      <t xml:space="preserve">or </t>
    </r>
    <r>
      <rPr>
        <b/>
        <i/>
        <sz val="9.9499999999999993"/>
        <color rgb="FF1B1B1B"/>
        <rFont val="Arial"/>
        <family val="2"/>
      </rPr>
      <t xml:space="preserve">sensitive information </t>
    </r>
    <r>
      <rPr>
        <sz val="9.9499999999999993"/>
        <color rgb="FF1B1B1B"/>
        <rFont val="Arial"/>
        <family val="2"/>
      </rPr>
      <t>(see paragraph 19), the undertaking shall indicate the disclosure that has omitted. </t>
    </r>
  </si>
  <si>
    <r>
      <t xml:space="preserve">(c) </t>
    </r>
    <r>
      <rPr>
        <sz val="9.9499999999999993"/>
        <color rgb="FF1B1B1B"/>
        <rFont val="Arial"/>
        <family val="2"/>
      </rPr>
      <t>whether the sustainability report has been prepared on an individual basis (i.e. the report  is limited to the undertaking’s information only) or on a consolidated basis (i.e. the report  includes information about the undertaking and its subsidiaries); </t>
    </r>
  </si>
  <si>
    <r>
      <t xml:space="preserve">(d) </t>
    </r>
    <r>
      <rPr>
        <sz val="9.9499999999999993"/>
        <color rgb="FF1B1B1B"/>
        <rFont val="Arial"/>
        <family val="2"/>
      </rPr>
      <t>in case of a consolidated sustainability report, the list of the subsidiaries, including their  registered address</t>
    </r>
    <r>
      <rPr>
        <vertAlign val="superscript"/>
        <sz val="6.6"/>
        <color rgb="FF1B1B1B"/>
        <rFont val="Arial"/>
        <family val="2"/>
      </rPr>
      <t>4</t>
    </r>
    <r>
      <rPr>
        <sz val="9.9499999999999993"/>
        <color rgb="FF1B1B1B"/>
        <rFont val="Arial"/>
        <family val="2"/>
      </rPr>
      <t>, covered in the report; and  </t>
    </r>
  </si>
  <si>
    <r>
      <t xml:space="preserve">(e) </t>
    </r>
    <r>
      <rPr>
        <sz val="9.9499999999999993"/>
        <color rgb="FF1B1B1B"/>
        <rFont val="Arial"/>
        <family val="2"/>
      </rPr>
      <t>the following information: </t>
    </r>
  </si>
  <si>
    <t>i. the undertaking’s legal form; </t>
  </si>
  <si>
    <t>ii. NACE sector classification code(s); </t>
  </si>
  <si>
    <t>iii. size of the balance sheet (in Euro); </t>
  </si>
  <si>
    <t>iv. turnover (in Euro); </t>
  </si>
  <si>
    <r>
      <t xml:space="preserve">v. number of </t>
    </r>
    <r>
      <rPr>
        <b/>
        <i/>
        <sz val="9.9499999999999993"/>
        <color rgb="FF1B1B1B"/>
        <rFont val="Arial"/>
        <family val="2"/>
      </rPr>
      <t xml:space="preserve">employees </t>
    </r>
    <r>
      <rPr>
        <sz val="9.9499999999999993"/>
        <color rgb="FF1B1B1B"/>
        <rFont val="Arial"/>
        <family val="2"/>
      </rPr>
      <t>in headcount or full-time equivalents; </t>
    </r>
  </si>
  <si>
    <t>vi. country of primary operations and location of significant asset(s); and </t>
  </si>
  <si>
    <r>
      <t xml:space="preserve">vii. geolocation of </t>
    </r>
    <r>
      <rPr>
        <b/>
        <i/>
        <sz val="9.9499999999999993"/>
        <color rgb="FF1B1B1B"/>
        <rFont val="Arial"/>
        <family val="2"/>
      </rPr>
      <t xml:space="preserve">sites </t>
    </r>
    <r>
      <rPr>
        <sz val="9.9499999999999993"/>
        <color rgb="FF1B1B1B"/>
        <rFont val="Arial"/>
        <family val="2"/>
      </rPr>
      <t xml:space="preserve">owned, leased or managed. </t>
    </r>
  </si>
  <si>
    <t>B2</t>
  </si>
  <si>
    <t>Practices, policies and future initiatives for transitioning towards a more sustainable  economy</t>
  </si>
  <si>
    <t>If the undertaking has put in place specific practices, policies or future initiatives for transitioning  towards a more sustainable economy, it shall state so. The undertaking shall state whether it has: </t>
  </si>
  <si>
    <r>
      <t xml:space="preserve">(a) practices. Practices in this context may include, for instance, efforts to reduce the  undertaking’s water and electricity consumption, to reduce GHG emissions or to prevent  pollution, and initiatives to improve product safety as well as current initiatives to improve  working conditions and equal treatment in the workplace, sustainability </t>
    </r>
    <r>
      <rPr>
        <b/>
        <i/>
        <sz val="9.9499999999999993"/>
        <color rgb="FF1B1B1B"/>
        <rFont val="Arial"/>
        <family val="2"/>
      </rPr>
      <t xml:space="preserve">training </t>
    </r>
    <r>
      <rPr>
        <sz val="9.9499999999999993"/>
        <color rgb="FF1B1B1B"/>
        <rFont val="Arial"/>
        <family val="2"/>
      </rPr>
      <t>for the  undertaking’s workforce and partnerships related to sustainability projects; </t>
    </r>
  </si>
  <si>
    <r>
      <t xml:space="preserve">(b) </t>
    </r>
    <r>
      <rPr>
        <b/>
        <i/>
        <sz val="9.9499999999999993"/>
        <color rgb="FF1B1B1B"/>
        <rFont val="Arial"/>
        <family val="2"/>
      </rPr>
      <t xml:space="preserve">policies </t>
    </r>
    <r>
      <rPr>
        <sz val="9.9499999999999993"/>
        <color rgb="FF1B1B1B"/>
        <rFont val="Arial"/>
        <family val="2"/>
      </rPr>
      <t xml:space="preserve">on sustainability issues, whether they are publicly available, and any separate  environmental, social or governance policies for addressing sustainability issues; </t>
    </r>
  </si>
  <si>
    <t>(c) any future initiatives or forward-looking plans that are being implemented on sustainability  issues; and </t>
  </si>
  <si>
    <r>
      <t xml:space="preserve">(d) </t>
    </r>
    <r>
      <rPr>
        <b/>
        <i/>
        <sz val="9.9499999999999993"/>
        <color rgb="FF1B1B1B"/>
        <rFont val="Arial"/>
        <family val="2"/>
      </rPr>
      <t xml:space="preserve">targets </t>
    </r>
    <r>
      <rPr>
        <sz val="9.9499999999999993"/>
        <color rgb="FF1B1B1B"/>
        <rFont val="Arial"/>
        <family val="2"/>
      </rPr>
      <t xml:space="preserve">to monitor the implementation of the </t>
    </r>
    <r>
      <rPr>
        <b/>
        <i/>
        <sz val="9.9499999999999993"/>
        <color rgb="FF1B1B1B"/>
        <rFont val="Arial"/>
        <family val="2"/>
      </rPr>
      <t xml:space="preserve">policies </t>
    </r>
    <r>
      <rPr>
        <sz val="9.9499999999999993"/>
        <color rgb="FF1B1B1B"/>
        <rFont val="Arial"/>
        <family val="2"/>
      </rPr>
      <t xml:space="preserve">and the progress achieved towards  meeting such targets. </t>
    </r>
  </si>
  <si>
    <t xml:space="preserve">If the undertaking also reports on the Comprehensive module, it shall complement the information  provided under B2 with the datapoints found in C2. </t>
  </si>
  <si>
    <t>Module</t>
  </si>
  <si>
    <t>Section</t>
  </si>
  <si>
    <t>Disclosure #</t>
  </si>
  <si>
    <t>Disclosure Title</t>
  </si>
  <si>
    <t>Disclosure</t>
  </si>
  <si>
    <t>Envi Metrics</t>
  </si>
  <si>
    <t>The undertaking shall disclose its total energy consumption in MWh, with a breakdown as per the  table below, if it can obtain the necessary information to provide such a breakdown:</t>
  </si>
  <si>
    <t>B3</t>
  </si>
  <si>
    <t>Energy and greenhouse gas emissions</t>
  </si>
  <si>
    <t>See table</t>
  </si>
  <si>
    <t>see list</t>
  </si>
  <si>
    <r>
      <t xml:space="preserve">The undertaking shall disclose its estimated </t>
    </r>
    <r>
      <rPr>
        <b/>
        <i/>
        <sz val="9.9499999999999993"/>
        <color rgb="FF1B1B1B"/>
        <rFont val="Arial"/>
        <family val="2"/>
      </rPr>
      <t xml:space="preserve">gross greenhouse gas (GHG) emissions </t>
    </r>
    <r>
      <rPr>
        <sz val="9.9499999999999993"/>
        <color rgb="FF1B1B1B"/>
        <rFont val="Arial"/>
        <family val="2"/>
      </rPr>
      <t>in tons of  CO</t>
    </r>
    <r>
      <rPr>
        <sz val="6.45"/>
        <color rgb="FF1B1B1B"/>
        <rFont val="Arial"/>
        <family val="2"/>
      </rPr>
      <t xml:space="preserve">2 </t>
    </r>
    <r>
      <rPr>
        <sz val="9.9499999999999993"/>
        <color rgb="FF1B1B1B"/>
        <rFont val="Arial"/>
        <family val="2"/>
      </rPr>
      <t>equivalent (tCO</t>
    </r>
    <r>
      <rPr>
        <sz val="6.45"/>
        <color rgb="FF1B1B1B"/>
        <rFont val="Arial"/>
        <family val="2"/>
      </rPr>
      <t>2</t>
    </r>
    <r>
      <rPr>
        <sz val="9.9499999999999993"/>
        <color rgb="FF1B1B1B"/>
        <rFont val="Arial"/>
        <family val="2"/>
      </rPr>
      <t>eq) considering the content of the GHG Protocol Corporate Standard (version  2004), including: </t>
    </r>
  </si>
  <si>
    <r>
      <t xml:space="preserve">(a) </t>
    </r>
    <r>
      <rPr>
        <sz val="9.9499999999999993"/>
        <color rgb="FF1B1B1B"/>
        <rFont val="Arial"/>
        <family val="2"/>
      </rPr>
      <t>the Scope 1 GHG emissions in tCO</t>
    </r>
    <r>
      <rPr>
        <sz val="6.45"/>
        <color rgb="FF1B1B1B"/>
        <rFont val="Arial"/>
        <family val="2"/>
      </rPr>
      <t>2</t>
    </r>
    <r>
      <rPr>
        <sz val="9.9499999999999993"/>
        <color rgb="FF1B1B1B"/>
        <rFont val="Arial"/>
        <family val="2"/>
      </rPr>
      <t>eq (from owned or controlled sources); and </t>
    </r>
  </si>
  <si>
    <r>
      <t xml:space="preserve">(b) </t>
    </r>
    <r>
      <rPr>
        <sz val="9.9499999999999993"/>
        <color rgb="FF1B1B1B"/>
        <rFont val="Arial"/>
        <family val="2"/>
      </rPr>
      <t xml:space="preserve">the </t>
    </r>
    <r>
      <rPr>
        <b/>
        <i/>
        <sz val="9.9499999999999993"/>
        <color rgb="FF1B1B1B"/>
        <rFont val="Arial"/>
        <family val="2"/>
      </rPr>
      <t xml:space="preserve">location-based Scope 2 emissions </t>
    </r>
    <r>
      <rPr>
        <sz val="9.9499999999999993"/>
        <color rgb="FF1B1B1B"/>
        <rFont val="Arial"/>
        <family val="2"/>
      </rPr>
      <t>in tCO</t>
    </r>
    <r>
      <rPr>
        <sz val="6.45"/>
        <color rgb="FF1B1B1B"/>
        <rFont val="Arial"/>
        <family val="2"/>
      </rPr>
      <t>2</t>
    </r>
    <r>
      <rPr>
        <sz val="9.9499999999999993"/>
        <color rgb="FF1B1B1B"/>
        <rFont val="Arial"/>
        <family val="2"/>
      </rPr>
      <t>eq (i.e. emissions from the generation of  purchased energy, such as electricity, heat, steam or cooling). </t>
    </r>
  </si>
  <si>
    <t>B4</t>
  </si>
  <si>
    <r>
      <t>The undertaking shall disclose its GHG intensity calculated by dividing ‘</t>
    </r>
    <r>
      <rPr>
        <b/>
        <i/>
        <sz val="9.9499999999999993"/>
        <color rgb="FF1B1B1B"/>
        <rFont val="Arial"/>
        <family val="2"/>
      </rPr>
      <t>gross greenhouse gas  (GHG) emissions</t>
    </r>
    <r>
      <rPr>
        <sz val="9.9499999999999993"/>
        <color rgb="FF1B1B1B"/>
        <rFont val="Arial"/>
        <family val="2"/>
      </rPr>
      <t>’ disclosed under paragraph 30 by ‘turnover (in Euro)’ disclosed under paragraph  24(e)(iv)</t>
    </r>
    <r>
      <rPr>
        <vertAlign val="superscript"/>
        <sz val="6.6"/>
        <color rgb="FF1B1B1B"/>
        <rFont val="Arial"/>
        <family val="2"/>
      </rPr>
      <t>5</t>
    </r>
    <r>
      <rPr>
        <sz val="9.9499999999999993"/>
        <color rgb="FF1B1B1B"/>
        <rFont val="Arial"/>
        <family val="2"/>
      </rPr>
      <t>.</t>
    </r>
  </si>
  <si>
    <t xml:space="preserve">Pollution of air, water and soil </t>
  </si>
  <si>
    <t>If the undertaking is already required by law or other national regulations to report to competent  authorities its emissions of pollutants, or if it voluntarily reports on them according to an  Environmental Management System, it shall disclose the pollutants it emits to air, water and soil in  its own operations, with the respective amount for each pollutant. If this information is already  publicly available, the undertaking may alternatively refer to the document where it is reported, for  example, by providing the relevant URL link or embedding a hyperlink. </t>
  </si>
  <si>
    <t>B5</t>
  </si>
  <si>
    <t>Biodiversity</t>
  </si>
  <si>
    <r>
      <t xml:space="preserve">(c) </t>
    </r>
    <r>
      <rPr>
        <sz val="9.9499999999999993"/>
        <color rgb="FF1B1B1B"/>
        <rFont val="Arial"/>
        <family val="2"/>
      </rPr>
      <t xml:space="preserve">total </t>
    </r>
    <r>
      <rPr>
        <b/>
        <i/>
        <sz val="9.9499999999999993"/>
        <color rgb="FF1B1B1B"/>
        <rFont val="Arial"/>
        <family val="2"/>
      </rPr>
      <t xml:space="preserve">nature-oriented area </t>
    </r>
    <r>
      <rPr>
        <sz val="9.9499999999999993"/>
        <color rgb="FF1B1B1B"/>
        <rFont val="Arial"/>
        <family val="2"/>
      </rPr>
      <t>on-site; and </t>
    </r>
  </si>
  <si>
    <r>
      <t xml:space="preserve">(d) </t>
    </r>
    <r>
      <rPr>
        <sz val="9.9499999999999993"/>
        <color rgb="FF1B1B1B"/>
        <rFont val="Arial"/>
        <family val="2"/>
      </rPr>
      <t xml:space="preserve">total </t>
    </r>
    <r>
      <rPr>
        <b/>
        <i/>
        <sz val="9.9499999999999993"/>
        <color rgb="FF1B1B1B"/>
        <rFont val="Arial"/>
        <family val="2"/>
      </rPr>
      <t xml:space="preserve">nature-oriented area </t>
    </r>
    <r>
      <rPr>
        <sz val="9.9499999999999993"/>
        <color rgb="FF1B1B1B"/>
        <rFont val="Arial"/>
        <family val="2"/>
      </rPr>
      <t>off-site.</t>
    </r>
  </si>
  <si>
    <t>B6</t>
  </si>
  <si>
    <t>Water</t>
  </si>
  <si>
    <r>
      <t xml:space="preserve">The undertaking shall disclose its total </t>
    </r>
    <r>
      <rPr>
        <b/>
        <i/>
        <sz val="9.9499999999999993"/>
        <color rgb="FF1B1B1B"/>
        <rFont val="Arial"/>
        <family val="2"/>
      </rPr>
      <t>water withdrawal</t>
    </r>
    <r>
      <rPr>
        <sz val="9.9499999999999993"/>
        <color rgb="FF1B1B1B"/>
        <rFont val="Arial"/>
        <family val="2"/>
      </rPr>
      <t xml:space="preserve">, i.e. the amount of water drawn into the  boundaries of the organisation (or facility); in addition, the undertaking shall separately present the  amount of water withdrawn at </t>
    </r>
    <r>
      <rPr>
        <b/>
        <i/>
        <sz val="9.9499999999999993"/>
        <color rgb="FF1B1B1B"/>
        <rFont val="Arial"/>
        <family val="2"/>
      </rPr>
      <t xml:space="preserve">sites </t>
    </r>
    <r>
      <rPr>
        <sz val="9.9499999999999993"/>
        <color rgb="FF1B1B1B"/>
        <rFont val="Arial"/>
        <family val="2"/>
      </rPr>
      <t xml:space="preserve">located in areas of high water-stress. </t>
    </r>
  </si>
  <si>
    <r>
      <t xml:space="preserve">If the undertaking has production processes in place which significantly consume water (e.g.  thermal energy processes like drying or power production, production of goods, agricultural  irrigation, etc.), it shall disclose its </t>
    </r>
    <r>
      <rPr>
        <b/>
        <i/>
        <sz val="9.9499999999999993"/>
        <color rgb="FF1B1B1B"/>
        <rFont val="Arial"/>
        <family val="2"/>
      </rPr>
      <t xml:space="preserve">water consumption </t>
    </r>
    <r>
      <rPr>
        <sz val="9.9499999999999993"/>
        <color rgb="FF1B1B1B"/>
        <rFont val="Arial"/>
        <family val="2"/>
      </rPr>
      <t>calculated as the difference between its  </t>
    </r>
    <r>
      <rPr>
        <b/>
        <i/>
        <sz val="9.9499999999999993"/>
        <color rgb="FF1B1B1B"/>
        <rFont val="Arial"/>
        <family val="2"/>
      </rPr>
      <t xml:space="preserve">water withdrawal </t>
    </r>
    <r>
      <rPr>
        <sz val="9.9499999999999993"/>
        <color rgb="FF1B1B1B"/>
        <rFont val="Arial"/>
        <family val="2"/>
      </rPr>
      <t xml:space="preserve">and water discharge from its production processes. </t>
    </r>
  </si>
  <si>
    <t>Resource use, circular economy and waste management</t>
  </si>
  <si>
    <r>
      <t xml:space="preserve">The undertaking shall disclose whether it applies </t>
    </r>
    <r>
      <rPr>
        <b/>
        <i/>
        <sz val="9.9499999999999993"/>
        <color rgb="FF1B1B1B"/>
        <rFont val="Arial"/>
        <family val="2"/>
      </rPr>
      <t xml:space="preserve">circular economy principles </t>
    </r>
    <r>
      <rPr>
        <sz val="9.9499999999999993"/>
        <color rgb="FF1B1B1B"/>
        <rFont val="Arial"/>
        <family val="2"/>
      </rPr>
      <t>and, if so, how it  applies these principles.</t>
    </r>
  </si>
  <si>
    <t>(c) if the undertaking operates in a sector using significant material flows (for example  manufacturing, construction, packaging or others), the annual mass-flow of relevant  materials used. </t>
  </si>
  <si>
    <t>B7</t>
  </si>
  <si>
    <t>See list</t>
  </si>
  <si>
    <t>Social Metrics</t>
  </si>
  <si>
    <t>B8</t>
  </si>
  <si>
    <t>Workforce - General characteristics</t>
  </si>
  <si>
    <r>
      <t xml:space="preserve">The undertaking shall disclose the number of </t>
    </r>
    <r>
      <rPr>
        <b/>
        <i/>
        <sz val="9.9499999999999993"/>
        <color rgb="FF1B1B1B"/>
        <rFont val="Arial"/>
        <family val="2"/>
      </rPr>
      <t xml:space="preserve">employees </t>
    </r>
    <r>
      <rPr>
        <sz val="9.9499999999999993"/>
        <color rgb="FF1B1B1B"/>
        <rFont val="Arial"/>
        <family val="2"/>
      </rPr>
      <t>in headcount or full-time equivalent for  the following metrics: </t>
    </r>
  </si>
  <si>
    <r>
      <t xml:space="preserve">(a) </t>
    </r>
    <r>
      <rPr>
        <sz val="9.9499999999999993"/>
        <color rgb="FF1B1B1B"/>
        <rFont val="Arial"/>
        <family val="2"/>
      </rPr>
      <t>type of employment contract (temporary or permanent); </t>
    </r>
  </si>
  <si>
    <r>
      <t xml:space="preserve">(b) </t>
    </r>
    <r>
      <rPr>
        <sz val="9.9499999999999993"/>
        <color rgb="FF1B1B1B"/>
        <rFont val="Arial"/>
        <family val="2"/>
      </rPr>
      <t>gender; and </t>
    </r>
  </si>
  <si>
    <r>
      <t xml:space="preserve">(c) </t>
    </r>
    <r>
      <rPr>
        <sz val="9.9499999999999993"/>
        <color rgb="FF1B1B1B"/>
        <rFont val="Arial"/>
        <family val="2"/>
      </rPr>
      <t xml:space="preserve">country of the employment contract, if the undertaking operates in more than one country. </t>
    </r>
  </si>
  <si>
    <r>
      <t xml:space="preserve">If the undertaking employs 50 or more </t>
    </r>
    <r>
      <rPr>
        <b/>
        <i/>
        <sz val="9.9499999999999993"/>
        <color rgb="FF1B1B1B"/>
        <rFont val="Arial"/>
        <family val="2"/>
      </rPr>
      <t>employees</t>
    </r>
    <r>
      <rPr>
        <sz val="9.9499999999999993"/>
        <color rgb="FF1B1B1B"/>
        <rFont val="Arial"/>
        <family val="2"/>
      </rPr>
      <t xml:space="preserve">, it shall disclose the employee turnover rate for  the reporting period. </t>
    </r>
  </si>
  <si>
    <r>
      <t xml:space="preserve">(b) </t>
    </r>
    <r>
      <rPr>
        <sz val="9.9499999999999993"/>
        <color rgb="FF1B1B1B"/>
        <rFont val="Arial"/>
        <family val="2"/>
      </rPr>
      <t>the number of fatalities as a result of work-related injuries and work-related ill health. </t>
    </r>
  </si>
  <si>
    <t>B9</t>
  </si>
  <si>
    <t>Workforce - Health and Safety</t>
  </si>
  <si>
    <t>Remuneration, collective bargaining and training</t>
  </si>
  <si>
    <t>B10</t>
  </si>
  <si>
    <r>
      <t xml:space="preserve">(a) </t>
    </r>
    <r>
      <rPr>
        <sz val="9.9499999999999993"/>
        <color rgb="FF1B1B1B"/>
        <rFont val="Arial"/>
        <family val="2"/>
      </rPr>
      <t xml:space="preserve">whether the </t>
    </r>
    <r>
      <rPr>
        <b/>
        <i/>
        <sz val="9.9499999999999993"/>
        <color rgb="FF1B1B1B"/>
        <rFont val="Arial"/>
        <family val="2"/>
      </rPr>
      <t xml:space="preserve">employees </t>
    </r>
    <r>
      <rPr>
        <sz val="9.9499999999999993"/>
        <color rgb="FF1B1B1B"/>
        <rFont val="Arial"/>
        <family val="2"/>
      </rPr>
      <t xml:space="preserve">receive </t>
    </r>
    <r>
      <rPr>
        <b/>
        <i/>
        <sz val="9.9499999999999993"/>
        <color rgb="FF1B1B1B"/>
        <rFont val="Arial"/>
        <family val="2"/>
      </rPr>
      <t xml:space="preserve">pay </t>
    </r>
    <r>
      <rPr>
        <sz val="9.9499999999999993"/>
        <color rgb="FF1B1B1B"/>
        <rFont val="Arial"/>
        <family val="2"/>
      </rPr>
      <t xml:space="preserve">that is equal or above applicable minimum </t>
    </r>
    <r>
      <rPr>
        <b/>
        <i/>
        <sz val="9.9499999999999993"/>
        <color rgb="FF1B1B1B"/>
        <rFont val="Arial"/>
        <family val="2"/>
      </rPr>
      <t xml:space="preserve">wage </t>
    </r>
    <r>
      <rPr>
        <sz val="9.9499999999999993"/>
        <color rgb="FF1B1B1B"/>
        <rFont val="Arial"/>
        <family val="2"/>
      </rPr>
      <t xml:space="preserve">for the  country it reports in, determined directly by the national minimum wage law or through a  </t>
    </r>
    <r>
      <rPr>
        <b/>
        <i/>
        <sz val="9.9499999999999993"/>
        <color rgb="FF1B1B1B"/>
        <rFont val="Arial"/>
        <family val="2"/>
      </rPr>
      <t xml:space="preserve">collective bargaining </t>
    </r>
    <r>
      <rPr>
        <sz val="9.9499999999999993"/>
        <color rgb="FF1B1B1B"/>
        <rFont val="Arial"/>
        <family val="2"/>
      </rPr>
      <t>agreement; </t>
    </r>
  </si>
  <si>
    <r>
      <t xml:space="preserve">(c) </t>
    </r>
    <r>
      <rPr>
        <sz val="9.9499999999999993"/>
        <color rgb="FF1B1B1B"/>
        <rFont val="Arial"/>
        <family val="2"/>
      </rPr>
      <t xml:space="preserve">the percentage of </t>
    </r>
    <r>
      <rPr>
        <b/>
        <i/>
        <sz val="9.9499999999999993"/>
        <color rgb="FF1B1B1B"/>
        <rFont val="Arial"/>
        <family val="2"/>
      </rPr>
      <t xml:space="preserve">employees </t>
    </r>
    <r>
      <rPr>
        <sz val="9.9499999999999993"/>
        <color rgb="FF1B1B1B"/>
        <rFont val="Arial"/>
        <family val="2"/>
      </rPr>
      <t xml:space="preserve">covered by </t>
    </r>
    <r>
      <rPr>
        <b/>
        <i/>
        <sz val="9.9499999999999993"/>
        <color rgb="FF1B1B1B"/>
        <rFont val="Arial"/>
        <family val="2"/>
      </rPr>
      <t xml:space="preserve">collective bargaining </t>
    </r>
    <r>
      <rPr>
        <sz val="9.9499999999999993"/>
        <color rgb="FF1B1B1B"/>
        <rFont val="Arial"/>
        <family val="2"/>
      </rPr>
      <t>agreements; and</t>
    </r>
  </si>
  <si>
    <r>
      <t xml:space="preserve">(d) </t>
    </r>
    <r>
      <rPr>
        <sz val="9.9499999999999993"/>
        <color rgb="FF1B1B1B"/>
        <rFont val="Arial"/>
        <family val="2"/>
      </rPr>
      <t xml:space="preserve">the average number of annual </t>
    </r>
    <r>
      <rPr>
        <b/>
        <i/>
        <sz val="9.9499999999999993"/>
        <color rgb="FF1B1B1B"/>
        <rFont val="Arial"/>
        <family val="2"/>
      </rPr>
      <t xml:space="preserve">training </t>
    </r>
    <r>
      <rPr>
        <sz val="9.9499999999999993"/>
        <color rgb="FF1B1B1B"/>
        <rFont val="Arial"/>
        <family val="2"/>
      </rPr>
      <t xml:space="preserve">hours per </t>
    </r>
    <r>
      <rPr>
        <b/>
        <i/>
        <sz val="9.9499999999999993"/>
        <color rgb="FF1B1B1B"/>
        <rFont val="Arial"/>
        <family val="2"/>
      </rPr>
      <t>employee</t>
    </r>
    <r>
      <rPr>
        <sz val="9.9499999999999993"/>
        <color rgb="FF1B1B1B"/>
        <rFont val="Arial"/>
        <family val="2"/>
      </rPr>
      <t xml:space="preserve">, broken down by gender. </t>
    </r>
  </si>
  <si>
    <t>Governance Metrics</t>
  </si>
  <si>
    <t xml:space="preserve">B11 </t>
  </si>
  <si>
    <t xml:space="preserve">Convictions and fines for corruption and bribery </t>
  </si>
  <si>
    <t>In case of convictions and fines in the reporting period, the undertaking shall disclose the number  of convictions, and the total amount of fines incurred for the violation of anti-corruption and anti bribery laws.</t>
  </si>
  <si>
    <t>Comprehensive</t>
  </si>
  <si>
    <t>n.a.</t>
  </si>
  <si>
    <t>Additional guidance on disclosures C1 to C9 is available in paragraphs 210 to 244.</t>
  </si>
  <si>
    <t xml:space="preserve">The text below provides the list of disclosures from C1 to C9 to be considered and reported upon, if they are applicable to the undertaking’s business and organisation. When one of these  disclosures is omitted, it is assumed to not be applicable. </t>
  </si>
  <si>
    <t xml:space="preserve">This module provides disclosures to address in a comprehensive way the information needs of the  undertaking’s business partners, such as investors, banks and corporate clients in addition to the  ones included in the Basic Module. The disclosures in this module reflect the financial market participants and corporate clients’ respective obligations under relevant laws and regulations. They also reflect the information needed by the business partners, to assess the sustainability risk profile  of the undertaking, e.g. as a (potential) supplier or a (potential) borrower. </t>
  </si>
  <si>
    <t xml:space="preserve">The undertaking may indicate, if any, the most senior level of the undertaking accountable for  implementing them. </t>
  </si>
  <si>
    <r>
      <t xml:space="preserve">If the undertaking has put in place specific practices, </t>
    </r>
    <r>
      <rPr>
        <b/>
        <i/>
        <sz val="9.9499999999999993"/>
        <color rgb="FF1B1B1B"/>
        <rFont val="Arial"/>
        <family val="2"/>
      </rPr>
      <t xml:space="preserve">policies </t>
    </r>
    <r>
      <rPr>
        <sz val="9.9499999999999993"/>
        <color rgb="FF1B1B1B"/>
        <rFont val="Arial"/>
        <family val="2"/>
      </rPr>
      <t xml:space="preserve">or future initiatives for transitioning  towards a more sustainable economy, which it has already reported under disclosure B2 in the  Basic Module, it shall briefly describe them. The undertaking may use the template found in  paragraph 213 for this purpose. </t>
    </r>
  </si>
  <si>
    <t>The undertaking shall disclose the key elements of its business model and strategy, including: (a) a description of significant groups of products and/or services offered; </t>
  </si>
  <si>
    <t>(b) a description of significant market(s) the undertaking operates in (such as B2B, wholesale,  retail, countries); </t>
  </si>
  <si>
    <r>
      <t xml:space="preserve">(c) a description of main business relationships (such as key suppliers, customers distribution  channels and </t>
    </r>
    <r>
      <rPr>
        <b/>
        <i/>
        <sz val="9.9499999999999993"/>
        <color rgb="FF1B1B1B"/>
        <rFont val="Arial"/>
        <family val="2"/>
      </rPr>
      <t>consumers</t>
    </r>
    <r>
      <rPr>
        <sz val="9.9499999999999993"/>
        <color rgb="FF1B1B1B"/>
        <rFont val="Arial"/>
        <family val="2"/>
      </rPr>
      <t>); and </t>
    </r>
  </si>
  <si>
    <t>(d) if the strategy has key elements that relate to or affect sustainability issues, a brief description  of those key elements.</t>
  </si>
  <si>
    <t>Strategy: Business Model and Sustainability – Related Initiatives</t>
  </si>
  <si>
    <t>Description of practices, policies and future initiatives for transitioning towards a more  sustainable economy</t>
  </si>
  <si>
    <t>C2</t>
  </si>
  <si>
    <t>C1</t>
  </si>
  <si>
    <t>Consideration when reporting on GHG emissions under B3</t>
  </si>
  <si>
    <t>Consideration when reporting on GHG emissions under B4</t>
  </si>
  <si>
    <t>Consideration when reporting on GHG emissions under B5</t>
  </si>
  <si>
    <t>Consideration when reporting on GHG emissions under B6</t>
  </si>
  <si>
    <r>
      <t xml:space="preserve">Depending on the type of activities carried out by the undertaking, disclosing a quantification of its  Scope 3 GHG emissions can be appropriate (see paragraph 10 of this Standard) to yield relevant  information on the undertaking’s </t>
    </r>
    <r>
      <rPr>
        <b/>
        <i/>
        <sz val="9.9499999999999993"/>
        <color rgb="FF1B1B1B"/>
        <rFont val="Arial"/>
        <family val="2"/>
      </rPr>
      <t xml:space="preserve">value chain impacts </t>
    </r>
    <r>
      <rPr>
        <sz val="9.9499999999999993"/>
        <color rgb="FF1B1B1B"/>
        <rFont val="Arial"/>
        <family val="2"/>
      </rPr>
      <t>on climate change. </t>
    </r>
  </si>
  <si>
    <r>
      <t xml:space="preserve">Scope 3 emissions are </t>
    </r>
    <r>
      <rPr>
        <b/>
        <i/>
        <sz val="9.9499999999999993"/>
        <color rgb="FF1B1B1B"/>
        <rFont val="Arial"/>
        <family val="2"/>
      </rPr>
      <t xml:space="preserve">indirect GHG emissions </t>
    </r>
    <r>
      <rPr>
        <sz val="9.9499999999999993"/>
        <color rgb="FF1B1B1B"/>
        <rFont val="Arial"/>
        <family val="2"/>
      </rPr>
      <t xml:space="preserve">(other than Scope 2) that derive from an  undertaking’s </t>
    </r>
    <r>
      <rPr>
        <b/>
        <i/>
        <sz val="9.9499999999999993"/>
        <color rgb="FF1B1B1B"/>
        <rFont val="Arial"/>
        <family val="2"/>
      </rPr>
      <t>value chain</t>
    </r>
    <r>
      <rPr>
        <sz val="9.9499999999999993"/>
        <color rgb="FF1B1B1B"/>
        <rFont val="Arial"/>
        <family val="2"/>
      </rPr>
      <t>. They include the activities that are upstream of the undertaking’s  operations (e.g. purchased goods and services, purchased capital goods, transportation of  purchased goods, etc.) and activities that are downstream of the undertaking’s operations (e.g.  transport and distribution of the undertaking’s products, use of sold products, investments, etc.).</t>
    </r>
  </si>
  <si>
    <r>
      <t>If the undertaking decides to provide this metric, it should refer to the 15 types of Scope 3 GHG  emissions identified by the GHG Protocol Corporate Standard and detailed by the GHG Protocol Corporate Value Chain (Scope 3) Accounting and Reporting Standard. When it reports on Scope  3 GHG emissions, the undertaking shall include significant Scope 3 categories (as per the  </t>
    </r>
    <r>
      <rPr>
        <u/>
        <sz val="9.9499999999999993"/>
        <color rgb="FF0000FF"/>
        <rFont val="Arial"/>
        <family val="2"/>
      </rPr>
      <t>Corporate Value Chain (Scope 3) Accounting and Reporting Standard</t>
    </r>
    <r>
      <rPr>
        <sz val="9.9499999999999993"/>
        <color rgb="FF1B1B1B"/>
        <rFont val="Arial"/>
        <family val="2"/>
      </rPr>
      <t xml:space="preserve">) based on its own  assessment of relevant Scope 3 categories. Undertakings can find further guidance on specific  calculation methods for each category in the GHG Protocol’s </t>
    </r>
    <r>
      <rPr>
        <i/>
        <u/>
        <sz val="9.9499999999999993"/>
        <color rgb="FF0000FF"/>
        <rFont val="Arial"/>
        <family val="2"/>
      </rPr>
      <t xml:space="preserve">Technical guidance for Calculating </t>
    </r>
    <r>
      <rPr>
        <i/>
        <sz val="9.9499999999999993"/>
        <color rgb="FF0000FF"/>
        <rFont val="Arial"/>
        <family val="2"/>
      </rPr>
      <t> </t>
    </r>
    <r>
      <rPr>
        <i/>
        <u/>
        <sz val="9.9499999999999993"/>
        <color rgb="FF0000FF"/>
        <rFont val="Arial"/>
        <family val="2"/>
      </rPr>
      <t>Scope 3 Emissions</t>
    </r>
    <r>
      <rPr>
        <sz val="9.9499999999999993"/>
        <color rgb="FF1B1B1B"/>
        <rFont val="Arial"/>
        <family val="2"/>
      </rPr>
      <t>.</t>
    </r>
  </si>
  <si>
    <t>When reporting its Scope 1 and Scope 2 emissions, if the undertaking discloses entity-specific  information on its Scope 3 emissions, it shall present it together with the information required under  B3 – Energy and greenhouse gas emissions.</t>
  </si>
  <si>
    <t>GHG reduction targets and climate transition</t>
  </si>
  <si>
    <t>C3</t>
  </si>
  <si>
    <r>
      <t xml:space="preserve">If the undertaking has established GHG emission reduction </t>
    </r>
    <r>
      <rPr>
        <b/>
        <i/>
        <sz val="9.9499999999999993"/>
        <color rgb="FF1B1B1B"/>
        <rFont val="Arial"/>
        <family val="2"/>
      </rPr>
      <t>targets</t>
    </r>
    <r>
      <rPr>
        <sz val="9.9499999999999993"/>
        <color rgb="FF1B1B1B"/>
        <rFont val="Arial"/>
        <family val="2"/>
      </rPr>
      <t>, it shall disclose its targets in absolute values for Scope 1 and Scope 2 emissions. In line with paragraphs 50 to 53 above and if  it has set Scope 3 reduction targets, the undertaking shall also provide targets for significant Scope  3 emissions. In particular, it shall provide:</t>
    </r>
  </si>
  <si>
    <t>(a) the target year and target year value; </t>
  </si>
  <si>
    <t>(b) the base year and base year value; </t>
  </si>
  <si>
    <r>
      <t xml:space="preserve">(c) the units used for </t>
    </r>
    <r>
      <rPr>
        <b/>
        <i/>
        <sz val="9.9499999999999993"/>
        <color rgb="FF1B1B1B"/>
        <rFont val="Arial"/>
        <family val="2"/>
      </rPr>
      <t>targets</t>
    </r>
    <r>
      <rPr>
        <sz val="9.9499999999999993"/>
        <color rgb="FF1B1B1B"/>
        <rFont val="Arial"/>
        <family val="2"/>
      </rPr>
      <t>;  </t>
    </r>
  </si>
  <si>
    <r>
      <t>If the undertaking that operates in high climate impact sectors</t>
    </r>
    <r>
      <rPr>
        <vertAlign val="superscript"/>
        <sz val="6.6"/>
        <color rgb="FF1B1B1B"/>
        <rFont val="Arial"/>
        <family val="2"/>
      </rPr>
      <t xml:space="preserve">6 </t>
    </r>
    <r>
      <rPr>
        <sz val="9.9499999999999993"/>
        <color rgb="FF1B1B1B"/>
        <rFont val="Arial"/>
        <family val="2"/>
      </rPr>
      <t>has adopted a transition plan for  climate change mitigation, it may provide information about it, including an explanation of how it is  contributing to reduce GHG emissions.</t>
    </r>
  </si>
  <si>
    <t>In case the undertaking operates in high-climate impact sectors and does not have a transition  plan for climate change mitigation in place, it shall indicate whether and, if so, when it will adopt  such a transition plan. </t>
  </si>
  <si>
    <t>C4</t>
  </si>
  <si>
    <t>Climate Risks</t>
  </si>
  <si>
    <t> If the undertaking has identified climate-related hazards and climate-related transition events,  creating gross climate-related risks for the undertaking, it shall:  </t>
  </si>
  <si>
    <t>(a) briefly describe such climate-related hazards and climate-related transition events; </t>
  </si>
  <si>
    <r>
      <t xml:space="preserve">(b) disclose how it has assessed the exposure and sensitivity of its assets, activities and </t>
    </r>
    <r>
      <rPr>
        <b/>
        <i/>
        <sz val="9.9499999999999993"/>
        <color rgb="FF1B1B1B"/>
        <rFont val="Arial"/>
        <family val="2"/>
      </rPr>
      <t xml:space="preserve">value  chain </t>
    </r>
    <r>
      <rPr>
        <sz val="9.9499999999999993"/>
        <color rgb="FF1B1B1B"/>
        <rFont val="Arial"/>
        <family val="2"/>
      </rPr>
      <t>to these hazards and transition events;  </t>
    </r>
  </si>
  <si>
    <r>
      <t xml:space="preserve">(c) disclose the </t>
    </r>
    <r>
      <rPr>
        <b/>
        <i/>
        <sz val="9.9499999999999993"/>
        <color rgb="FF1B1B1B"/>
        <rFont val="Arial"/>
        <family val="2"/>
      </rPr>
      <t xml:space="preserve">time horizons </t>
    </r>
    <r>
      <rPr>
        <sz val="9.9499999999999993"/>
        <color rgb="FF1B1B1B"/>
        <rFont val="Arial"/>
        <family val="2"/>
      </rPr>
      <t>of any climate-related hazards and transition events identified;  and </t>
    </r>
  </si>
  <si>
    <r>
      <t xml:space="preserve">(d) disclose whether it has undertaken </t>
    </r>
    <r>
      <rPr>
        <b/>
        <i/>
        <sz val="9.9499999999999993"/>
        <color rgb="FF1B1B1B"/>
        <rFont val="Arial"/>
        <family val="2"/>
      </rPr>
      <t xml:space="preserve">climate change adaptation </t>
    </r>
    <r>
      <rPr>
        <sz val="9.9499999999999993"/>
        <color rgb="FF1B1B1B"/>
        <rFont val="Arial"/>
        <family val="2"/>
      </rPr>
      <t>actions for any climate related hazards and transition events.  </t>
    </r>
  </si>
  <si>
    <t xml:space="preserve">The undertaking may disclose the potential adverse effects of climate risks that may affect its  financial performance or business operations in the short-, medium- or long-term, indicating whether it assesses the risks to be high, medium, low. </t>
  </si>
  <si>
    <t>C5</t>
  </si>
  <si>
    <t>C6</t>
  </si>
  <si>
    <t>Additional (general) workforce characteristics </t>
  </si>
  <si>
    <t>The undertaking shall disclose an answer to the following questions.</t>
  </si>
  <si>
    <r>
      <t xml:space="preserve">If the undertaking employs 50 or more </t>
    </r>
    <r>
      <rPr>
        <b/>
        <i/>
        <sz val="9.9499999999999993"/>
        <color rgb="FF1B1B1B"/>
        <rFont val="Arial"/>
        <family val="2"/>
      </rPr>
      <t>employees</t>
    </r>
    <r>
      <rPr>
        <sz val="9.9499999999999993"/>
        <color rgb="FF1B1B1B"/>
        <rFont val="Arial"/>
        <family val="2"/>
      </rPr>
      <t xml:space="preserve">, it may disclose the number of those self employed without personnel who are working exclusively for the undertaking, and temporary  workers provided by undertakings primarily engaged in ‘employment activities’. </t>
    </r>
  </si>
  <si>
    <r>
      <t xml:space="preserve">If the undertaking employs 50 or more </t>
    </r>
    <r>
      <rPr>
        <b/>
        <i/>
        <sz val="9.9499999999999993"/>
        <color rgb="FF1B1B1B"/>
        <rFont val="Arial"/>
        <family val="2"/>
      </rPr>
      <t>employees</t>
    </r>
    <r>
      <rPr>
        <sz val="9.9499999999999993"/>
        <color rgb="FF1B1B1B"/>
        <rFont val="Arial"/>
        <family val="2"/>
      </rPr>
      <t xml:space="preserve">, it may disclose the female-to-male ratio at  management level for the reporting period. </t>
    </r>
  </si>
  <si>
    <r>
      <t xml:space="preserve">(a) </t>
    </r>
    <r>
      <rPr>
        <sz val="9.9499999999999993"/>
        <color rgb="FF1B1B1B"/>
        <rFont val="Arial"/>
        <family val="2"/>
      </rPr>
      <t xml:space="preserve">Does the undertaking have a code of conduct or human rights </t>
    </r>
    <r>
      <rPr>
        <b/>
        <i/>
        <sz val="9.9499999999999993"/>
        <color rgb="FF1B1B1B"/>
        <rFont val="Arial"/>
        <family val="2"/>
      </rPr>
      <t xml:space="preserve">policy </t>
    </r>
    <r>
      <rPr>
        <sz val="9.9499999999999993"/>
        <color rgb="FF1B1B1B"/>
        <rFont val="Arial"/>
        <family val="2"/>
      </rPr>
      <t xml:space="preserve">for its </t>
    </r>
    <r>
      <rPr>
        <b/>
        <i/>
        <sz val="9.9499999999999993"/>
        <color rgb="FF1B1B1B"/>
        <rFont val="Arial"/>
        <family val="2"/>
      </rPr>
      <t>own workforce</t>
    </r>
    <r>
      <rPr>
        <sz val="9.9499999999999993"/>
        <color rgb="FF1B1B1B"/>
        <rFont val="Arial"/>
        <family val="2"/>
      </rPr>
      <t>?  (YES/NO) </t>
    </r>
  </si>
  <si>
    <r>
      <t xml:space="preserve">(b) </t>
    </r>
    <r>
      <rPr>
        <sz val="9.9499999999999993"/>
        <color rgb="FF1B1B1B"/>
        <rFont val="Arial"/>
        <family val="2"/>
      </rPr>
      <t>If yes, does this cover: </t>
    </r>
  </si>
  <si>
    <t xml:space="preserve">i. child labour (YES/ NO); </t>
  </si>
  <si>
    <t>ii. forced labour (YES/ NO); </t>
  </si>
  <si>
    <t>iii. human trafficking (YES/NO); </t>
  </si>
  <si>
    <t>iv. discrimination (YES/NO); </t>
  </si>
  <si>
    <t>v. accident prevention (YES/NO); or </t>
  </si>
  <si>
    <t>vi. other? (YES/NO – if yes, specify). </t>
  </si>
  <si>
    <r>
      <t xml:space="preserve">(c) </t>
    </r>
    <r>
      <rPr>
        <sz val="9.9499999999999993"/>
        <color rgb="FF1B1B1B"/>
        <rFont val="Arial"/>
        <family val="2"/>
      </rPr>
      <t xml:space="preserve">Does the undertaking have a complaints-handling mechanism for its </t>
    </r>
    <r>
      <rPr>
        <b/>
        <i/>
        <sz val="9.9499999999999993"/>
        <color rgb="FF1B1B1B"/>
        <rFont val="Arial"/>
        <family val="2"/>
      </rPr>
      <t>own workforce</t>
    </r>
    <r>
      <rPr>
        <sz val="9.9499999999999993"/>
        <color rgb="FF1B1B1B"/>
        <rFont val="Arial"/>
        <family val="2"/>
      </rPr>
      <t xml:space="preserve">? (YES/  NO) </t>
    </r>
  </si>
  <si>
    <t>Severe negative human rights incidents</t>
  </si>
  <si>
    <t>C7</t>
  </si>
  <si>
    <t>The undertaking shall disclose an answer to the following questions: </t>
  </si>
  <si>
    <r>
      <t xml:space="preserve">(a) </t>
    </r>
    <r>
      <rPr>
        <sz val="9.9499999999999993"/>
        <color rgb="FF1B1B1B"/>
        <rFont val="Arial"/>
        <family val="2"/>
      </rPr>
      <t xml:space="preserve">Does the undertaking have confirmed incidents in its </t>
    </r>
    <r>
      <rPr>
        <b/>
        <i/>
        <sz val="9.9499999999999993"/>
        <color rgb="FF1B1B1B"/>
        <rFont val="Arial"/>
        <family val="2"/>
      </rPr>
      <t xml:space="preserve">own workforce </t>
    </r>
    <r>
      <rPr>
        <sz val="9.9499999999999993"/>
        <color rgb="FF1B1B1B"/>
        <rFont val="Arial"/>
        <family val="2"/>
      </rPr>
      <t>related to: i. child labour (YES/ NO); </t>
    </r>
  </si>
  <si>
    <t>iii. human trafficking (YES/ NO); </t>
  </si>
  <si>
    <t>iv. discrimination (YES/ NO); or </t>
  </si>
  <si>
    <t>v. other? (YES/NO – if yes, specify). </t>
  </si>
  <si>
    <r>
      <t xml:space="preserve">(b) </t>
    </r>
    <r>
      <rPr>
        <sz val="9.9499999999999993"/>
        <color rgb="FF1B1B1B"/>
        <rFont val="Arial"/>
        <family val="2"/>
      </rPr>
      <t xml:space="preserve">If yes, the undertaking may describe the </t>
    </r>
    <r>
      <rPr>
        <b/>
        <i/>
        <sz val="9.9499999999999993"/>
        <color rgb="FF1B1B1B"/>
        <rFont val="Arial"/>
        <family val="2"/>
      </rPr>
      <t xml:space="preserve">actions </t>
    </r>
    <r>
      <rPr>
        <sz val="9.9499999999999993"/>
        <color rgb="FF1B1B1B"/>
        <rFont val="Arial"/>
        <family val="2"/>
      </rPr>
      <t xml:space="preserve">being taken to address the </t>
    </r>
    <r>
      <rPr>
        <b/>
        <i/>
        <sz val="9.9499999999999993"/>
        <color rgb="FF1B1B1B"/>
        <rFont val="Arial"/>
        <family val="2"/>
      </rPr>
      <t xml:space="preserve">incidents </t>
    </r>
    <r>
      <rPr>
        <sz val="9.9499999999999993"/>
        <color rgb="FF1B1B1B"/>
        <rFont val="Arial"/>
        <family val="2"/>
      </rPr>
      <t>described above. </t>
    </r>
  </si>
  <si>
    <r>
      <t xml:space="preserve">(c) </t>
    </r>
    <r>
      <rPr>
        <sz val="9.9499999999999993"/>
        <color rgb="FF1B1B1B"/>
        <rFont val="Arial"/>
        <family val="2"/>
      </rPr>
      <t xml:space="preserve">Is the undertaking aware of any confirmed </t>
    </r>
    <r>
      <rPr>
        <b/>
        <i/>
        <sz val="9.9499999999999993"/>
        <color rgb="FF1B1B1B"/>
        <rFont val="Arial"/>
        <family val="2"/>
      </rPr>
      <t xml:space="preserve">incidents </t>
    </r>
    <r>
      <rPr>
        <sz val="9.9499999999999993"/>
        <color rgb="FF1B1B1B"/>
        <rFont val="Arial"/>
        <family val="2"/>
      </rPr>
      <t xml:space="preserve">involving </t>
    </r>
    <r>
      <rPr>
        <b/>
        <i/>
        <sz val="9.9499999999999993"/>
        <color rgb="FF1B1B1B"/>
        <rFont val="Arial"/>
        <family val="2"/>
      </rPr>
      <t>workers in the value chain</t>
    </r>
    <r>
      <rPr>
        <sz val="9.9499999999999993"/>
        <color rgb="FF1B1B1B"/>
        <rFont val="Arial"/>
        <family val="2"/>
      </rPr>
      <t xml:space="preserve">,  </t>
    </r>
    <r>
      <rPr>
        <b/>
        <i/>
        <sz val="9.9499999999999993"/>
        <color rgb="FF1B1B1B"/>
        <rFont val="Arial"/>
        <family val="2"/>
      </rPr>
      <t>affected communities</t>
    </r>
    <r>
      <rPr>
        <sz val="9.9499999999999993"/>
        <color rgb="FF1B1B1B"/>
        <rFont val="Arial"/>
        <family val="2"/>
      </rPr>
      <t xml:space="preserve">, </t>
    </r>
    <r>
      <rPr>
        <b/>
        <i/>
        <sz val="9.9499999999999993"/>
        <color rgb="FF1B1B1B"/>
        <rFont val="Arial"/>
        <family val="2"/>
      </rPr>
      <t xml:space="preserve">consumers </t>
    </r>
    <r>
      <rPr>
        <sz val="9.9499999999999993"/>
        <color rgb="FF1B1B1B"/>
        <rFont val="Arial"/>
        <family val="2"/>
      </rPr>
      <t xml:space="preserve">and </t>
    </r>
    <r>
      <rPr>
        <b/>
        <i/>
        <sz val="9.9499999999999993"/>
        <color rgb="FF1B1B1B"/>
        <rFont val="Arial"/>
        <family val="2"/>
      </rPr>
      <t>end-users</t>
    </r>
    <r>
      <rPr>
        <sz val="9.9499999999999993"/>
        <color rgb="FF1B1B1B"/>
        <rFont val="Arial"/>
        <family val="2"/>
      </rPr>
      <t xml:space="preserve">? If yes, specify. </t>
    </r>
  </si>
  <si>
    <t>C8</t>
  </si>
  <si>
    <t>C9</t>
  </si>
  <si>
    <t>If the undertaking is active in one or more of the following sectors, it shall disclose its related  revenues in the sector(s):  </t>
  </si>
  <si>
    <t>(a) controversial weapons (anti-personnel mines, cluster munitions, chemical weapons and  biological weapons);  </t>
  </si>
  <si>
    <t>(b) the cultivation and production of tobacco; </t>
  </si>
  <si>
    <t>(c) fossil fuel (coal, oil and gas) sector (i.e. the undertaking derives revenues from exploration,  mining, extraction, production, processing, storage, refining or distribution, including  transportation, storage and trade, of fossil fuels as defined in Article 2, point (62), of  Regulation (EU) 2018/1999 of the European Parliament and the Council 17), including a  disaggregation of revenues derived from coal, oil and gas; or </t>
  </si>
  <si>
    <t>(d) chemicals production if the undertaking is a manufacturer of pesticides and other  agrochemical products.</t>
  </si>
  <si>
    <t>Note</t>
  </si>
  <si>
    <t>Data Type</t>
  </si>
  <si>
    <t>narrative</t>
  </si>
  <si>
    <t>Source</t>
  </si>
  <si>
    <t>text</t>
  </si>
  <si>
    <t>Euro</t>
  </si>
  <si>
    <t>numeric</t>
  </si>
  <si>
    <t>B1</t>
  </si>
  <si>
    <t>Overview of Basic Guidance</t>
  </si>
  <si>
    <t>This guidance supports undertakings that wish to apply the Basic Module.</t>
  </si>
  <si>
    <t>When reporting on the legal form of the undertaking according to national legislation under paragraph 24(e)(i), the undertaking can choose from one of the following undertaking structures:</t>
  </si>
  <si>
    <t>(a) private limited liability undertaking</t>
  </si>
  <si>
    <t>(b) sole proprietorship</t>
  </si>
  <si>
    <t>(c) partnership</t>
  </si>
  <si>
    <t>(d) cooperative</t>
  </si>
  <si>
    <t>(e) other (please specify based on country specifications for legal forms)</t>
  </si>
  <si>
    <t>When reporting on the NACE code(s) of the undertaking under paragraph 24(e)(ii), NACE codes (Nomenclature statistique des Activités économiques dans la Communauté Européenne) are classifications of economic activities used in the European Union. They provide a standardizedframework for classifying economic activities into sectors, enabling comparability and a common understanding among the various EU countries.</t>
  </si>
  <si>
    <t>The NACE code consists of a number of digits ranging from 2 to 5 depending on the level of specificity with which the economic activity is identified. The list of NACE codes can be found in the following document: REGULATION (EC) No 1893/2006.</t>
  </si>
  <si>
    <t>see table</t>
  </si>
  <si>
    <t>Level 1 - Section: Sections are identified by an alphabetic letter, and they define 21 general economic areas such as agriculture, manufacturing industry or commerce.</t>
  </si>
  <si>
    <t>Level 2 - Division: The division is identified by a two-digit numerical code and identifies a specific sector within the general economic area. There are a total of 88 divisions.</t>
  </si>
  <si>
    <t>Level 3 - Group: The group is identified by a three-digit numerical code (also considering the division's two digits) and defines a specific area within the sector. There are about 270 groups.</t>
  </si>
  <si>
    <t>Level 4 - Class: The class is identified by a four-digit numerical code (considering the digits of division and group) and defines a specific activity within the group. There are about 450 classes.</t>
  </si>
  <si>
    <t>Headcount is the total number of people employed by the undertaking at a given time.</t>
  </si>
  <si>
    <t>Undertakings may use the following template to report on B2 datapoints</t>
  </si>
  <si>
    <t>If the undertaking is a cooperative, it may disclose:</t>
  </si>
  <si>
    <t>(a) the effective participation of workers, users or other interested parties or communities in
governance;</t>
  </si>
  <si>
    <t>Guidance for own workforce, workers in the value chain, affected communities and consumers and
end/users</t>
  </si>
  <si>
    <t>Refer to Appendix B</t>
  </si>
  <si>
    <t xml:space="preserve">Basic </t>
  </si>
  <si>
    <t>Climate related impacts are significantly driven by energy consumption. Therefore, it is relevant to disclose both the quantity as well as the type – e.g. fossil fuels such as coal, oil and gas versus renewable energy – and mix of energy consumed. Examples of energy disclosures are total energy consumption broken down by fossil fuels and electricity. Other breakdowns may be reported such as consumption of purchased or self-generated electricity from renewable sources. An example of the information requested in paragraph 29 follows.</t>
  </si>
  <si>
    <t>see image</t>
  </si>
  <si>
    <t>For fuel consumption measured by mass (e.g. wood, coal), the undertaking should:</t>
  </si>
  <si>
    <t xml:space="preserve">(b) convert the Net Calorific Value to MWh/ton, for example:
1 TJ = 1012 J = 277.78 MWh ; 1 Gg = 109 g = 1,000 t
11.9 TJ/Gg = 11.9 * 277.78/1000 t = 3.31 MWh/ton; </t>
  </si>
  <si>
    <t>(c) calculate the energy content of the mass, for example:
1,245,345 t * 3.31 MWh/ton = 4,117,111 MWh.</t>
  </si>
  <si>
    <t>For liquid fuel, the undertakings should:</t>
  </si>
  <si>
    <t>(a) convert volume information to mass, multiplying volume by fuel density, for example,
Diesel = 4,456,000 l; Diesel density = 0.84 kg/l
4,456,000 (l) * 0.84 (kg/l) = 3,43,040 kg = 3,743 t;</t>
  </si>
  <si>
    <t>(c) convert TJ to MWh, for example 1 TJ = 1012 J = 277.778 MWh
160.95 [TJ] = 277.78 [MWh/TJ] * 160.95 [TJ] = 44,708 MWh</t>
  </si>
  <si>
    <t>Scope 1 and 2 emissions may be reported in the following format.</t>
  </si>
  <si>
    <t>To ensure a fair account of the undertaking’s emissions, the GHG Protocol has set a list of reporting principles:</t>
  </si>
  <si>
    <t>(a) relevance: ensuring that the GHG inventory reflects the GHG emissions of the organisation.</t>
  </si>
  <si>
    <t>(c) consistency: ensuring the consistency of the methodology used to allow for comparisons
over time;</t>
  </si>
  <si>
    <t>(d) transparency: disclosing the assumptions, references and methodology used when
computing GHG emissions;</t>
  </si>
  <si>
    <t>In alternative to the GHG Protocol, undertakings may resort to ISO 14064-1, should it be better
suited to their reporting needs</t>
  </si>
  <si>
    <t>When reporting on GHG emissions, it is important to set the appropriate boundaries to ensure that
the GHG inventory is correct and to avoid double counting emissions. The GHG Protocol defines
two main types of boundaries – organisational or operational boundaries</t>
  </si>
  <si>
    <t>(b) The equity share approach relates to accounting for GHG emissions from operations
according to its shares of equity in the operation.</t>
  </si>
  <si>
    <t>(c) When using the control approach, the undertaking accounts for GHG emissions from
operations over which it has either financial or operational control. Companies will use either
the operational control or financial control criteria when using this approach to consolidate
and capture its emissions in the report.</t>
  </si>
  <si>
    <t>ii. Operational control means that an undertaking has operational control over
an operation if the former or one of its subsidiaries has full authority to
introduce and implement its operating policies at the operation.</t>
  </si>
  <si>
    <t>i. Financial control means that the undertaking has financial control over the
operation if the former has the ability to direct the financial and operating
policies of the latter with a view to gaining economic benefits from its activities.</t>
  </si>
  <si>
    <t>Different tools have been developed by private and public initiatives to help undertakings in
developing their GHG emissions inventory and facilitating challenges related to its preparation:</t>
  </si>
  <si>
    <t>(a) calculation tools and guidance by the GHG Protocol: https://ghgprotocol.org/calculationtools-and-guidance</t>
  </si>
  <si>
    <t>(b) SME Climate hub: https://smeclimatehub.org/start-measuring/</t>
  </si>
  <si>
    <t>(c) Business Carbon Calculator by Normative: https://businesscarboncalculator.normative.io/en/</t>
  </si>
  <si>
    <t>(d) Carbon Trust SME Carbon Footprint Calculator: https://www.carbontrust.com/our-work-andimpact/guides-reports-and-tools/sme-carbon-footprint-calculator</t>
  </si>
  <si>
    <t>(e) UK Business Climate hub: https://businessclimatehub.uk/carbon-footprint-calculators/</t>
  </si>
  <si>
    <t>The table above introduces the following terms:</t>
  </si>
  <si>
    <t>(a) activity data, which typically corresponds to the quantity of fuel consumed. It may be
expressed in energy units (e.g. MWh), volume (e.g. m³ or l) or mass (e.g. tonnes or kg.).
These can be accessed by the undertaking by reviewing fuel purchase receipts or utility bills:</t>
  </si>
  <si>
    <t>(b) global warming potential, which quantifies the impact of the given GHG on the climate
compared to an equivalent unit of carbon dioxide; and</t>
  </si>
  <si>
    <t>101.5 m3* 0.03921 TJ/m3* 75.75 t CO2/TJ * 1 = 301.5 t CO2</t>
  </si>
  <si>
    <t>CH4 emissions = 101.5 m3* 0.03921 TJ/m3* 3 kg CO2/TJ * 29.8 = 0.36 tCO2e</t>
  </si>
  <si>
    <t>N2O emissions = 101.5 m3* 0.03921 TJ/m3* 0.6 kg CO2/TJ * 273 = 0.65 tCO2e</t>
  </si>
  <si>
    <t>example of scope 1</t>
  </si>
  <si>
    <t>𝐸𝑚𝑖𝑠𝑠𝑖𝑜𝑛𝑠𝐺𝐻𝐺 = 282 000 [𝑘𝑊ℎ] ∗ 73 [ 𝑔 𝐶𝑂2𝑒𝑞 𝑘𝑊ℎ ] = 20.6 t CO22𝑒q</t>
  </si>
  <si>
    <t>Company A burns Nr. 4 fuel oil in an industrial boiler. For its financial accounting, it keeps track of its costs, and for GHG accounting purposes, it keeps track of volumes (m³) as reflected in their fuelreceipts. From the receipts, it determines the annual volumes of fuel oil bought, and it keeps track as well of the fuel oil inventory on the first calendar day of the year. In 2023 it purchased 100 m³ of fuel oil. Based on its records, on 1 January 2023 it had 2.5 m³ in its reservoirs, and on 1 January 2024 it had 1 m³. Thus, it determines (through purchase and measurement of inventory) that during 2023 it consumed 101.5 m³ of fuel oil.</t>
  </si>
  <si>
    <t>Using the IPCC list of emissions factors (Table 2.3, page 2.18), it estimates its emission factor to be a fifty-fifty blend of diesel oil and residual oil as 75.75 t CO2/TJ, and by using published statistics on energy, determines that its net calorific value of the fuel is 0.03921 TJ/m3. Given that the CO2 GWP equals one, its CO2 emission for this specific Scope 1 source is:</t>
  </si>
  <si>
    <t>For the purpose of completeness in this example, the CH4 and N2O emissions are also calculated. Checking the IPCC list of emission factors shows that these are, respectively, 3 kg of CH4/TJ and 0.6 kg of N2O/TJ, the emissions thus being:</t>
  </si>
  <si>
    <t>As mentioned, CH4 and N2O emissions add around 1 tCO2e to the CO2 value of 301.5 tCO2, which amounts to about 0.3% of the total. This could be considered well within an acceptable reporting error and so could not have been calculated and reported. Global Warming Potentials for CH4 and N2O are derived from the IPCC’s Sixth Assessment Report, Chapter 7SM9</t>
  </si>
  <si>
    <t>The guidance below is intended as part of an ecosystem that will include also the development of
further support guides by EFRAG, further digital tools and implementation support (educational activities, stakeholders’ engagement) that aim to facilitate the understanding of some of the technical elements in the guidance.</t>
  </si>
  <si>
    <t xml:space="preserve">The undertakings can also find more guidance and tools on how to act and report on their GHG emissions and climate impacts by visiting https://smeclimatehub.org/. </t>
  </si>
  <si>
    <t>The table below summarises non-exhaustive sources where both emission factors (FE) and global warming potential (GWP) can be easily accessed by undertakings. Undertakings may also refer to authoritative national sources that may be more relevant to their circumstances</t>
  </si>
  <si>
    <t>(c) emission factors (FE), quantifying how much GHG is emitted per unit of activity. The emission factors frequently take into account the GWP of the GHG, in which case the undertaking does not need to consider the latter.</t>
  </si>
  <si>
    <t>Evaluating GHG emissions can be done in several ways, including by the calculation approach, measurement, or a combination of measurement and calculations. One common approach is based on calculating with use of emission factors (EF) – which may incorporate the global warming potential (GWP) of the GHG. Direct measurement using sensors (flow and concentration) can also be applied. The table below summarises the most common methods.</t>
  </si>
  <si>
    <t>The GHG Protocol also introduces guidance as well as steps to follow to identify, calculate and track GHG emissions as visualised in the image below.</t>
  </si>
  <si>
    <t>(e) Boundary considerations need to follow the principles detailed above (consistency over time, transparency in documenting them and completeness) and are visualised in the image
below.</t>
  </si>
  <si>
    <t>(d) Operational boundary: the GHG Protocol defines it as the boundaries that determine the
direct and indirect emissions associated with operations owned or controlled by the reporting company. This assessment offers an undertaking the ability to establish which operationsand sources cause direct (Scope 1) and indirect emissions (Scope 2 and Scope 3) and to decide which indirect emissions to include resulting from its operations.</t>
  </si>
  <si>
    <t>(a) Organisational boundary: the GHG Protocol defines it as the boundaries that determine the operations owned or controlled by the reporting undertaking depending on the consolidation
approach taken. There are two approaches to consolidation of emissions – the equity or
control approach. The undertaking will choose the approach that reflects its circumstances.</t>
  </si>
  <si>
    <t>The geolocation of an undertaking is expected to be a valuable datapoint for stakeholders for theassessment of risks and opportunities connected to the SME, particularly in relation to the sustainability issues of climate change adaptation, water, ecosystems and biodiversity.</t>
  </si>
  <si>
    <t>When reporting on the country of primary operations and the location of significant assets under paragraphs 24(e)(vi) and (vii), the undertaking shall disclose this information for each of its sites using the table</t>
  </si>
  <si>
    <t>The geolocation shall be provided in spatial points for single units or polygon points defining the boundaries of a larger, less unit-like site, such as a farm, mine or facility. The undertaking may also provide a cluster of points to allow for the easy identification of the concerned area. The spatial points shall be provided as coordinates, with five decimal places (e.g. 0° 00′ 0.036″).</t>
  </si>
  <si>
    <t>When disclosing the geolocation of sites owned, leased, or managed, the undertaking shall include the coordinates of the sites in the table shown in paragraph 73. The undertaking may use web mapping tools (e.g. google maps, apple maps) to identify the coordinates of sites that it owns, leases or manages. The undertaking may also use any appropriate software tools or platforms to further establish the perimeter or area of larger sites.</t>
  </si>
  <si>
    <t>In relation to paragraph 25, sustainability-related certification can include registered eco-labels from an EU, national or international labelling scheme, corresponding to the main activity of an SME. For instance, the EU Ecolabel covers specific products, such as textiles and footwear, coverings (e.g. wood floor coverings), cleaning and personal care products, electronic equipment, or furniture. The undertaking may consult the EU Ecolabel Product Groups and Product Catalogue for further information</t>
  </si>
  <si>
    <t>(b) the financial investment in the capital or assets of social economy entities referred to in the Council Recommendation of 29 September 2023 (excluding donations and contributions);</t>
  </si>
  <si>
    <t>(c) any limits to the distribution of profits connected to the mutualistic nature or to the nature of the activities consisting in services of general economic interest (SGEI)</t>
  </si>
  <si>
    <t>In order to understand the sustainability issues that relate to social and human rights, refer to Appendix B for a list of possible sustainability issues. This list could help identify if the policies, practices or future initiatives are aimed at addressing negative human rights impacts in a comprehensive way or if they are limited to certain groups of affected stakeholders (for example, workers in the upstream value chain). As part of this disclosure undertakings may also disclose whether they have a process to address human rights related complaints.</t>
  </si>
  <si>
    <t>Under paragraphs 29 and 30, the undertaking reports on its climate impacts, providing information about its energy use and greenhouse gas emissions. This guidance for disclosure B3 does not constitute an additional datapoint to the disclosures described in paragraphs 29 (on energy consumption) and 30 (on GHG emissions) but rather reinstates an overarching objective and provides context for the Basic disclosure B3.</t>
  </si>
  <si>
    <t>In case the undertaking purchases fossil fuels (e.g. natural gas, oil) or renewable fuels (e.g.
biofuels, such as biodiesel and bioethanol) to generate electricity, heat or cooling for its own
consumption, it has to avoid double counting. Therefore, the undertaking accounts for the energy content of the purchased fuel only as fuel consumption, but it does not account for, or report on, its electricity and heat consumption produced from that fuel yet again. In case of electricity generation from renewable energies such as solar or wind – and where no fuel use is necessary – the undertaking accounts for the amount of electricity generated and consumed as electricity consumption.</t>
  </si>
  <si>
    <t>The undertaking shall not offset its energy consumption by its energy production even if on site generated energy is sold to and used by a third party. The undertaking shall also avoid double counting fuel consumption when disclosing self-generated energy consumption. If the undertaking generates electricity from either a non-renewable or renewable fuel source and then consumes the generated electricity, the energy consumption shall be counted only once under fuel consumption. The share of renewable energy consumption can be calculated based on guarantees of origin, renewable energy certificates or electricity composition as stated in the electricity bill. The electricity bill may refer to electricity units consumed and specify the percentage of electricity provided coming from renewable sources and it may look like the figure below.</t>
  </si>
  <si>
    <t>When preparing the information on energy consumption required under paragraph 29, the
undertaking shall exclude feedstocks and fuels that are not combusted for energy purposes. The undertaking that consumes fuel as feedstocks can disclose information on this consumption separately from the required disclosures.</t>
  </si>
  <si>
    <t>Undertakings are to report their energy consumption in terms of final energy, which is understood as the amount of energy delivered to the undertaking, for example, the Megawatt-Hours (MWh) of electricity purchased from the utility steam received from a nearby industrial plant or diesel purchased at petrol stations. Electricity explicitly refers to heat, steam and cooling. Fuels include anything burned, e.g. gas, natural gas, biomass, etc.</t>
  </si>
  <si>
    <t>Paragraph 29 indicates MWh as the unit of choice for measuring energy consumption. In case of fue or biomass, a conversion to MWh is necessary for data expressed in other units such as energy content (e.g. kJ, Btu), volume (e.g. litres, m³) or mass (e.g. metric tonnes, short tonnes).</t>
  </si>
  <si>
    <t>(a) obtain the Net Calorific Value (e.g. kJ/metric ton, TJ/Gg) of the fuel (it can be a typical value published by reliable sources, e.g. IPCC, or may be provided by the supplier or attained internally);</t>
  </si>
  <si>
    <t>(b) calculate the energy content, multiplying mass by Net Calorific Value, for example, 3,743 [t] * 43 [TJ/Gg] = 3,743 t * 43 TJ/(1,000 [t]) = 160.95 [TJ]</t>
  </si>
  <si>
    <t xml:space="preserve">The GHG Protocol is a global standard for measuring, reporting and managing GHG emissions while ensuring consistency and transparency. The corporate standard covers Scope 1, Scope 2 and Scope 3 emissions guidance for companies and other organisations (NGOs, government, etc.). </t>
  </si>
  <si>
    <t>(b) completeness: ensuring that the GHG inventory account for all GHG emission sources and activities within the chosen boundary;</t>
  </si>
  <si>
    <t>(e) accuracy: ensuring that GHG emissions data is sufficiently precise to allow users to make decisions.</t>
  </si>
  <si>
    <t>Location-based Scope 2 includes emissions from electricity, heat, steam and cooling purchased or acquired and consumed by the reporting company. It reflects the average emissions intensity of grids on which the energy consumption occurs and uses mostly grid-average emission factor data. Typical sources of Scope 2 emissions relate to any equipment that consumes electricity (electrical engines, lights, buildings, etc.), heat (heating in industrial processes, buildings, etc.), steam (industrial processes) and cooling (industrial processes, buildings, etc.).</t>
  </si>
  <si>
    <t>Company A occupies an office building of 2000 m2in Paris, where it pays the electricity  consumed for the central heating and cooling, lighting, computers and other electric equipment such as appliances. With its utility bills, it has estimated that the building consumed 282 MWh of electricity in 2022. By using the emission factor provided by nowtricity.com for France in 2022, it has estimated its Scope 2 emissions for its building electricity consumption to be</t>
  </si>
  <si>
    <t>Undertakings may also want to provide their market-based Scope 2 figures. Emission factors for market-based Scope 2 emissions reflect the contractual arrangements of the undertaking with its energy suppliers. Market-based emission factors can be provided by their electricity or heat suppliers as well as supported by their own purchase of Energy Attribute Certificates or Power Purchase Agreements (PPAs) or the use of residual-mix emission factors.</t>
  </si>
  <si>
    <t>Paragraph 32 establishes that the undertaking shall disclose the pollutants it emits to air, water and soil in its own operations if such information is already required to be reported by law to competent authorities or under an Environmental Management System. This means that the undertaking will first assess whether it already reports such information, either as a legal requirement or voluntarily. If it already reports information on pollutants emissions (or is legally required to do so), the undertaking will then provide further information on such emissions according to the requirements in paragraph 32. However, if the undertaking does not yet report such information (and is not legally required to do so), it is simply required to state this to be thecase.</t>
  </si>
  <si>
    <t>In general, this requirement is expected to apply to undertakings that are operators of an industrial installation or intensive livestock farm covered by the Industrial and Livestock Rearing Emissions Directive (IED 2.0), amending the Industrial Emissions Directive (IED). The IED 2.0 applies to some 75,000 installations in Europe, covering activities such as burning fuel in boilers with rated power of more than 50 MW, founding in metal foundries, processing of non-ferrous metals, production of lime, manufacturing of ceramic products by firing, production of plant protection products or biocides, rearing of any mix of pigs or poultry representing 380 livestock units or more, tanning of hides, slaughterhouses, etc. In these cases, the installation must already report to the competent authority the pollutants released to air, water and soil, and the data is publicly available at the Industrial Emissions Portal Regulation (IEPR), replacing the European Pollutant Release and Transfer Register (E-PRTR). Companies that operate in more than one facility do not have to report on their consolidated company-wide emissions under the EPRTR, as they report only at facility level. This Standard requires the reporting of the total amount of pollutants of all the facilities. Similarly, companies owning but not operating in a facility do not have to report to the E-PRTR but are expected to reflect their facility-owned emissions in their sustainability report.</t>
  </si>
  <si>
    <t>Likewise, if an undertaking has been identified as having to monitor and report on the pollutants listed in the E-PRTR under an Environmental Management System such as, for example, an Eco- Management and Audit Scheme (EMAS) or ISO 14001 certification. These are in principle relevant aspects for the undertaking to include in its sustainability report.</t>
  </si>
  <si>
    <t>If an undertaking has only one facility or operates in only one facility, and if its pollution data is already publicly available, the undertaking may refer to the document where such information is provided instead of reporting it once again. Likewise, if the undertaking publishes an organisation-wide report such as, for example, an EMAS report that incorporates pollution data, it can include it in the sustainability report by reference.</t>
  </si>
  <si>
    <t>To report information on pollutants in the sustainability report, the undertaking should indicate the type of pollutant material being reported alongside the amount emitted to air, water and soil in a suitable mass unit (e.g. t or kg).</t>
  </si>
  <si>
    <t>Below can be found an example of how undertakings may present information on their emissions to air, water and soil divided by pollutant type.</t>
  </si>
  <si>
    <t>As for the types of pollutants that need to be considered when reporting under paragraph 32, the undertaking may refer to the following main pollutants that are currently covered under EU law Nevertheless, each undertaking shall consider the specific pollutants covered by the legislation in their respective jurisdictions.</t>
  </si>
  <si>
    <t>Emk,p = Mp * EFk,p</t>
  </si>
  <si>
    <t>For instance, a medium-sized chocolate manufacturer producing 1.750 tonnes of chocolate in 2022 would apply the default emission factor of 2 to calculate its emissions of NMVOCs, which would result in the following calculation:</t>
  </si>
  <si>
    <t>1.750 tonnes of chocolate * 2 (emission factor of NMVOCs) = 3.500 tonnes of emissions of NMVOCs.</t>
  </si>
  <si>
    <t>Emk,v,f = FCv,f * EFk,v,f</t>
  </si>
  <si>
    <t>For example, a light commercial vehicle (LCV) running on diesel that travelled a total of 2.800 km in 2022 produced the following amount of PM10 emissions (PM10 emission factor of 1,52 g/kg):</t>
  </si>
  <si>
    <t>2.800 km * 1,52 = 4.256 grammes of emissions of PM10.</t>
  </si>
  <si>
    <t>example of scope 2</t>
  </si>
  <si>
    <t>Fuel combustion is an additional critical source of air emissions. In this case an example of a
formula may be the following, where FCn is the fuel n consumed within the source category (Gj); EFk is the emission factor for this pollutant k (g/Gj); and Emk are emissions of the specific pollutant k (g).</t>
  </si>
  <si>
    <t>3.000.000 * 0,67 = 2.010.000 grammes of emissions of SO2. from fuel combustion in 2020.</t>
  </si>
  <si>
    <t>For example, a company consuming 3.000.000 grammes of fuel in 2020 will have an EF of 0,67 for SO2, resulting in:</t>
  </si>
  <si>
    <t>Examples of key pollutants to water (Reg. 2024/1244; Dir. 2000/60/EC; Dir. 2006/118/EC; Dir.
91/676/EEC; Dir. 2010/75/EU; and amendment Dir. 2024/1785; EEA, 2024) are: nitrogen (N),
phosphorus (P), heavy metals (Cd, Hg, Pb as well as As, Cr, Cu, Ni, Zn), POPs and pesticides, BTEX (benzene, toluene, ethylbenzene, xylenes) and other Volatile Organic Compounds (VOCs), substances unfavourably influencing the oxygen balance (measured using parameters such as BOD, COD, etc.), total organic carbon (TOC), etc.</t>
  </si>
  <si>
    <t>Pesticides and nutrients (e.g. N and P) may be released through agricultural activities (EEA, 2023; UNEP, 2023) (e.g. manure or inorganic fertiliser application). Heavy metal concentrations maystem from mining and wastewater discharges. TOC is a generic indicator of water contamination with organic matter which indicates the presence of living material, for example in wastewater, but also surface and groundwater (usual concentration levels of less than 10 mgl-1 and 2 mgl-1, respectively). COD widely indicates the presence of industrial effluents or sewage, with values that are typically lower than 20 mgl-1 in unpolluted waters and industrial wastewaters reaching values of up to 60.000 mgl-1. BOD is normally used to determine pollution by organic matter in surface waters as well as for the efficiency of sewage treatment, and it usually features values around 2 mgl-1 in unpolluted waters and 10 mgl-1 and more in polluted waters. The release of VOCs can be the result of spills to water.</t>
  </si>
  <si>
    <t>As for the methodology used to measure emissions to water, the EEA recommends a simple
estimation technique similar to the one used for the aforementioned air pollutants. In the formula below, ARa is the activity rate for activity a (to be chosen based on the specific activity or process e.g. see Mp in the air emissions calculation above); EFp,a is the emission factor for pollutant p for activity a; and Emissionsp,a are emissions of the specific pollutant p for activity a.</t>
  </si>
  <si>
    <t>Emissionsp,a = ARa * EFp,a</t>
  </si>
  <si>
    <t>Examples of key pollutants emitted to soil (Reg. 2024/1244; Dir. 86/278/EEC) are: N, P, heavy
metals (e.g. land application of sewage sludge), BTEX and other VOCs, POPs and pesticides.</t>
  </si>
  <si>
    <t>Overall, the private sector sources of soil pollution are mainly the products or by-products of
industrial processes (e.g. production of chemicals, energy, textiles manufacturing), accidental spills of petrol-derived products, livestock and agricultural activities (e.g. irrigation with untreated wastewater, poultry rearing), production and treatment of wastewater, production and processing of metals and minerals, and transportation (FAO, 2021).</t>
  </si>
  <si>
    <t xml:space="preserve">Several national manuals have been developed to support companies in the calculation of their
emissions to air, water and soil, For example, in Australia and South Africa entities are presented with a few estimation options to choose from, depending on their possibilities: direct measurement (e.g. sampling, continuous monitoring system), mass balance, engineering calculations, emission factors (same formula as above for air and water emissions), etc. The general approach to calculating such emissions is to: </t>
  </si>
  <si>
    <t>1) identify the emission sources within the facility (combustion,
manufacturing, solvent evaporation, storage, fugitive);</t>
  </si>
  <si>
    <t>2) make a stock of the information available;</t>
  </si>
  <si>
    <t>3) identify in the list of estimation methods the most suitable one for the specific process under
evaluation, the information available, and the measuring tools that can be acquired to get the data that is needed;</t>
  </si>
  <si>
    <t>4) gather the data required for each method; and</t>
  </si>
  <si>
    <t>5) calculate emissions. The manuals provide several formulas and examples for each emissions’ calculation method.</t>
  </si>
  <si>
    <t>A list of emission factors for air pollutants can be found at the dedicated webpage of the EEA.
Although emission factors are more commonly used for air pollution, certain ones for surface water discharge and land disposal for specific processes were made available by the WHO. Additional emission factors for POPs may be consulted here.</t>
  </si>
  <si>
    <t>see link</t>
  </si>
  <si>
    <t>It is to be noted that the requirements under paragraph 32 are only applicable to SMEs operating in specific sectors. Undertakings that are involved in the provision of services (e.g. operating in co-working or shared facilities or remotely), for instance, are typically not included in the scope of this disclosure. By contrast undertakings carrying out production activities (e.g. chemicals) generally have impacts in terms of pollution and are, therefore, expected to report under this disclosure. The table below (adapted from the EMAS User Guide) provides examples of sectoral impacts, including for office services, for which pollution-related aspects may not be significant.</t>
  </si>
  <si>
    <t xml:space="preserve">Examples of key pollutants to air (Dir. 2024/299; Reg. 2024/1244; EC, 2024; EEA, 2022) are: </t>
  </si>
  <si>
    <t>Sulphur oxides (Sox/SO2 – e.g. from energy generation and heating in manufacturing)</t>
  </si>
  <si>
    <t>Nitrogen oxides (NOx/NO2 – e.g. from transport)</t>
  </si>
  <si>
    <t>Non-methane volatile organic compounds (NMVOC – e.g. from agricultural activities)</t>
  </si>
  <si>
    <t>Carbon monoxide (CO – e.g. from fossil fuel combustion)</t>
  </si>
  <si>
    <t>Ammonia (NH3 – e.g. manure application and storage)</t>
  </si>
  <si>
    <t>Particulate matter (PM10 – e.g. from combustion in manufacturing, transport, agricultural activities)</t>
  </si>
  <si>
    <t>Heavy metals (Cd, Hg, Pb, As, Cr, Cu, Ni, Zn)</t>
  </si>
  <si>
    <t>POPs (total PAHs, HCB, PCBs, dioxins/furans)</t>
  </si>
  <si>
    <t>Ozone-depleting substances or ‘ODS’ (chlorofluorocarbons ‘CFCs’, hydrochlorofluorocarbons ‘HCFCs’, halons)</t>
  </si>
  <si>
    <t>Black carbon (BC – e.g. from energy consumption), etc…</t>
  </si>
  <si>
    <t xml:space="preserve">According to the Guide for Business on air pollutants emissions adopted by the Alliance for Clean Air, the major sources of emissions of air pollutants in the private sector (that are also highly impactful for the entire value chain) include: </t>
  </si>
  <si>
    <t>(a) Electricity generation from fossil fuel or biomass combustion (which may be done externally, distributed through a national grid, then consumed along the value chain activities).</t>
  </si>
  <si>
    <t>(b) Direct stationary fossil fuel or biomass combustion within an undertaking’s activities or industrial processes, or the operation of stationary machinery or other activities that require fuel combustion.</t>
  </si>
  <si>
    <t>(c) Transport (freight, road, rail, shipping and aviation, off-road vehicles such as those used in agriculture or construction).</t>
  </si>
  <si>
    <t>(d) Industrial processes (all other emissions that do not stem from fuel combustion and that occur during industrial processes).</t>
  </si>
  <si>
    <t>(e) Agriculture (livestock and manure management, crop production such as crop residue burning, manure and fertiliser application).</t>
  </si>
  <si>
    <t>(f) Waste disposal (e.g. landfilling, incineration or open burning, or composting).</t>
  </si>
  <si>
    <t xml:space="preserve">The Guide represents an example of a simple methodology for developing a company's air
pollutant emission inventory and calculating the emissions of respective air pollutants. This
methodology is divided into the following steps; excluding the mapping of the value chain as under the VSME Standard the information required by this Disclosure Requirement is to be reported at the level of the reporting company: </t>
  </si>
  <si>
    <t>(1) Identifying emission sources within the value chain.</t>
  </si>
  <si>
    <t>(2) Identifying methodologies for quantifying emissions.</t>
  </si>
  <si>
    <t>(3) Collecting activity data.</t>
  </si>
  <si>
    <t>(4) Identifying emissions factors.</t>
  </si>
  <si>
    <t>(5) Quantifying emissions.</t>
  </si>
  <si>
    <t xml:space="preserve">Below is an example of a calculation method for air pollutant emissions using the method for
manufacturing taken from the Guide above. </t>
  </si>
  <si>
    <t>In the example considered, Mp is the quantity of material M used in (or produced by) a company’s value chain produced using process p (tonnes, litres).</t>
  </si>
  <si>
    <t>EFk,p is the emission factor for pollutant k for process p (g unit production-1).</t>
  </si>
  <si>
    <t>Emk,p are emissions of the specific pollutant k for process p (g).</t>
  </si>
  <si>
    <t>Transport may be another significant source of air pollution within own operations and at value chain level. In this case, to estimate the emission of a particular pollutant from road transport, for example, the entity will need to use the following formula:</t>
  </si>
  <si>
    <t>FCv,f is the fuel consumption of vehicle type v using fuel f (kg).</t>
  </si>
  <si>
    <t>EFk,v,f is the emission factor for pollutant k for vehicle type v and fuel f (g vehicle-km-1).</t>
  </si>
  <si>
    <t>Emk,v,f represents the emissions of the specific pollutant k for vehicle type v and fuel f (g).</t>
  </si>
  <si>
    <t>It can be calculated by dividing an employee's scheduled hours (total effective hours worked in a week) by the employer's hours for a full-time workweek (total hours performed by full-time employees).</t>
  </si>
  <si>
    <t>For example, an employee who works 25 hours every week for a company where the full-time week is 40 hours represents a 0,625 FTE (i.e. 25/ 40 hours).</t>
  </si>
  <si>
    <t xml:space="preserve">When reporting the number of employees under paragraph 24(e)(v), full-time equivalent (FTE) is the number of full-time positions in an undertaking. </t>
  </si>
  <si>
    <t>Paragraph 33 stipulates that the undertaking shall disclose the sites it operates in that are located in or near biodiversity-sensitive areas. Biodiversity sensitive areas are defined as such by special nature protection regulation at European or international level. These comprise areas belonging to the Natura 2000 network of protected areas, UNESCO World Heritage sites and Key Biodiversity Areas (‘KBAs’) as well as other protected areas designated as requiring special protection by governmental authorities (e.g. forest-protected areas or areas lying within river basin districts).</t>
  </si>
  <si>
    <t>To identify protected areas and biodiversity sensitive areas, the undertaking may refer to databases such as the World Database on Protected Areas (WDPA) (a global database to help identify marine and terrestrial protected areas), the World Database on Key Biodiversity Areas, and the IUCN Red List of Threatened Species. The undertaking may also use tools such as the Integrated Biodiversity Assessment Tool (IBAT).</t>
  </si>
  <si>
    <t>Near, in the context of B5 – Biodiversity, shall refer to an area that is (partially) overlapping or adjacent to a biodiversity sensitive area.</t>
  </si>
  <si>
    <t>The following table shows how information on sites in or near biodiversity sensitive areas can be presented.</t>
  </si>
  <si>
    <t>A ‘sealed area’ is to be understood as an area where the original soil has been covered (e.g. roads, buildings, parking lots), making it impermeable and resulting in an impact on the environment.</t>
  </si>
  <si>
    <t>Green area or ‘nature-oriented area’ is an area that primarily preserves or restores nature. Near natural/green areas may be located on the organisation’s site and may include roofs, facades, water-drainage systems or other features designed, adapted or managed to promote biodiversity. Near-natural areas may also be located off the organisation’s site if they are owned or managed by the organisation and primarily serve to promote biodiversity.</t>
  </si>
  <si>
    <t>When disclosing according to paragraph 34, the undertaking shall not only consider local impacts but also direct and indirect impacts on biodiversity (e.g. through raw material extraction, procurement, supply chain, production and products, transportation and logistics, and marketing and communications).</t>
  </si>
  <si>
    <t>The following table shows how information on how land-use may be presented.</t>
  </si>
  <si>
    <t>Water withdrawal relates to the amount of water an undertaking draws into its organisational boundaries from any source during the reporting period. In practice, for most undertakings this relates to the amount of water taken from the public water supply network as indicated in the utility bills. However, where applicable, water withdrawal also includes amounts of water taken from other sources such as groundwater from own wells, water taken from rivers or lakes or water received by other undertakings. In the specific case of undertakings operating in agriculture, water withdrawal would include rainwater if collected directly and stored by the undertaking.</t>
  </si>
  <si>
    <t>Water withdrawal data can be retrieved from measurements using flow meters or water bills; indeed, in practice for most undertakings water withdrawal relates to the amount of water taken from the public water supply network as indicated in the utility bills. In cases in which direct measurements are not feasible or are deemed not sufficient and therefore need to be complemented, data on water withdrawal can be estimated using, for example, calculations models, and industry standards.</t>
  </si>
  <si>
    <t>For example, in the case of a shared office or coworking space, a possible method to calculate the water withdrawal could be to retrieve the overall water withdrawal of the building from the water bill and calculate the water withdrawal per employee with the following equation:</t>
  </si>
  <si>
    <t>Water withdrawal per employee daily (L) = annual water withdrawal (L) / (n. of employees in the whole shared building x n. of working days).</t>
  </si>
  <si>
    <t>The undertaking could then multiply the water withdrawal per employee for the number of its employees and the days they worked in the reporting year to obtain the final number required in the datapoint.</t>
  </si>
  <si>
    <t>To make a numerical example applying the proposed formula, the annual water withdrawal retrieved from the water bill of a coworking space is 1296 m3 (corresponding to 1296000 L), coworking space where 100 employees of different companies work together for an assumed number of 240 days a year. The assumption on the average number of days worked can be based on national statistics, for example. The water withdrawal per employee daily would be in this case:</t>
  </si>
  <si>
    <t>water withdrawal per employee daily = 1296000 L / (100x240) = 54 L</t>
  </si>
  <si>
    <t>Assuming now that that the employees of the reporting undertaking are 25 and that they use the coworking space for 220 days a year, the yearly water withdrawal of the undertaking in the coworking space would be the water withdrawal per employee multiplied for the number of its employees and the days worked, therefore 54Lx25x220 = 297000 L (corresponding to 297 m3).</t>
  </si>
  <si>
    <t>This calculation could be useful when it is possible to access the water bill of the shared building. This simple calculation method has some limitations, as it does not consider, for example, differences in use between different parts of the building (e.g. a seven-floor building could have six floors dedicated to offices and one floor with a canteen or a restaurant), which the undertaking might be able to overcome if additional data are available, further refining the basic calculation provided above as an example.</t>
  </si>
  <si>
    <t>An alternative way to obtain water withdrawal data in the example of shared offices when it is not possible to retrieve the water bill could be to calculate it using fixture flow rates and occupancy data as primary inputs. A possible formula could be:</t>
  </si>
  <si>
    <t>Total water withdrawal = Σ(Flow Rate×Number of Uses per Day×Number of Days per Year×Occupancy) where:</t>
  </si>
  <si>
    <t>(a) flow rates or each fixture can be retrieved from the project documentation or labels of the fixtures, for example, or estimated basing on average data publicly available if more accurate information is not retrievable;</t>
  </si>
  <si>
    <t>(b) the number of uses per day can be estimated based on averages publicly available;</t>
  </si>
  <si>
    <t>(c) ‘number of days’ stands for the number of operational days for the reporting undertaking in a year;</t>
  </si>
  <si>
    <t>(d) ‘occupancy’ represents the number of employees of the undertaking using the office; it is often calculated as full-time equivalent (FTE); and</t>
  </si>
  <si>
    <t>(e) the sign Σ indicates that the calculations for each fixture should be summed up to obtain the total water withdrawal of the reporting undertaking operating in a shared office.</t>
  </si>
  <si>
    <t>Water consumption is the amount of water drawn into the boundaries of the undertaking that is not discharged or planned to be discharged back into the water environment or to a third party. This typically relates to water evaporated – e.g. in thermal energy processes like drying or power production – water embedded in products – e.g. in food production – or water for irrigation purposes – e.g. used in agriculture or for watering company premises.</t>
  </si>
  <si>
    <t>Water discharge means, for example, the amount of water transferred directly to receiving water bodies such as lakes or rivers, the public sewer or to other companies for cascading water use. It can be seen as the water output of the undertaking.</t>
  </si>
  <si>
    <t>Water consumption can therefore be calculated as:</t>
  </si>
  <si>
    <t>or in other words:</t>
  </si>
  <si>
    <t>Water consumption = (Water withdrawal) – Water discharges.</t>
  </si>
  <si>
    <t>For undertakings that solely withdraw water from the public water network and discharge it into the sewer, water consumption will be close to zero and can therefore be omitted from the report.</t>
  </si>
  <si>
    <t>More broadly, the applicability of the disclosure requirement on water consumption relates to information already requested by law, already reported, and/or appropriate for the sector.</t>
  </si>
  <si>
    <t>A schematic view of the relationship between water withdrawal, water consumption and water discharge can be seen in the image below.</t>
  </si>
  <si>
    <t>see links</t>
  </si>
  <si>
    <r>
      <t xml:space="preserve">An additional possible source that could support the reporting of water withdrawal for undertakings operating in shared offices is the </t>
    </r>
    <r>
      <rPr>
        <u/>
        <sz val="9.9499999999999993"/>
        <color rgb="FF0070C0"/>
        <rFont val="Arial"/>
        <family val="2"/>
      </rPr>
      <t>JRC Level(s) indicator 3.1: Use stage water consumption user manual</t>
    </r>
    <r>
      <rPr>
        <sz val="9.9499999999999993"/>
        <color rgb="FF1B1B1B"/>
        <rFont val="Arial"/>
        <family val="2"/>
      </rPr>
      <t xml:space="preserve"> as well as additional related documents and calculation sheets (see </t>
    </r>
    <r>
      <rPr>
        <u/>
        <sz val="9.9499999999999993"/>
        <color rgb="FF0070C0"/>
        <rFont val="Arial"/>
        <family val="2"/>
      </rPr>
      <t>PG Section Documents | Product Bureau (europa.eu)</t>
    </r>
    <r>
      <rPr>
        <sz val="9.9499999999999993"/>
        <color rgb="FF1B1B1B"/>
        <rFont val="Arial"/>
        <family val="2"/>
      </rPr>
      <t xml:space="preserve">). Furthermore, the undertaking could consult EMAS Reference Document for the Public Administration sector and </t>
    </r>
    <r>
      <rPr>
        <u/>
        <sz val="9.9499999999999993"/>
        <color rgb="FF0070C0"/>
        <rFont val="Arial"/>
        <family val="2"/>
      </rPr>
      <t>EMAS Reference Document for the Construction sector</t>
    </r>
    <r>
      <rPr>
        <sz val="9.9499999999999993"/>
        <color rgb="FF1B1B1B"/>
        <rFont val="Arial"/>
        <family val="2"/>
      </rPr>
      <t xml:space="preserve"> as well as rating systems like the </t>
    </r>
    <r>
      <rPr>
        <u/>
        <sz val="9.9499999999999993"/>
        <color rgb="FF0070C0"/>
        <rFont val="Arial"/>
        <family val="2"/>
      </rPr>
      <t>National Australian Built Environment Rating System (NABERS)</t>
    </r>
    <r>
      <rPr>
        <sz val="9.9499999999999993"/>
        <color rgb="FF1B1B1B"/>
        <rFont val="Arial"/>
        <family val="2"/>
      </rPr>
      <t xml:space="preserve"> and certifications like the</t>
    </r>
    <r>
      <rPr>
        <u/>
        <sz val="9.9499999999999993"/>
        <color rgb="FF0070C0"/>
        <rFont val="Arial"/>
        <family val="2"/>
      </rPr>
      <t xml:space="preserve"> Building Research Establishment Environmental Assessment Method (BREEM)</t>
    </r>
    <r>
      <rPr>
        <sz val="9.9499999999999993"/>
        <color rgb="FF1B1B1B"/>
        <rFont val="Arial"/>
        <family val="2"/>
      </rPr>
      <t xml:space="preserve">, the </t>
    </r>
    <r>
      <rPr>
        <u/>
        <sz val="9.9499999999999993"/>
        <color rgb="FF0070C0"/>
        <rFont val="Arial"/>
        <family val="2"/>
      </rPr>
      <t>Leadership in Energy and Environmental Design (LEED)</t>
    </r>
    <r>
      <rPr>
        <sz val="9.9499999999999993"/>
        <color rgb="FF1B1B1B"/>
        <rFont val="Arial"/>
        <family val="2"/>
      </rPr>
      <t xml:space="preserve"> and the </t>
    </r>
    <r>
      <rPr>
        <u/>
        <sz val="9.9499999999999993"/>
        <color rgb="FF0070C0"/>
        <rFont val="Arial"/>
        <family val="2"/>
      </rPr>
      <t>German Sustainable Building Council (DGNB) System for Buildings In Use</t>
    </r>
    <r>
      <rPr>
        <sz val="9.9499999999999993"/>
        <color rgb="FF1B1B1B"/>
        <rFont val="Arial"/>
        <family val="2"/>
      </rPr>
      <t>, which might provide useful indications in their methodologies on how to further refine the calculation for water withdrawal in offices and shared spaces.</t>
    </r>
  </si>
  <si>
    <r>
      <t xml:space="preserve">The provided examples to obtain water withdrawal data in the case of shared offices can be transposed to and applied by undertakings operating in different sectors, with adjustments that might be necessary for the sectoral and entity-specific situation the undertaking operates in. </t>
    </r>
    <r>
      <rPr>
        <u/>
        <sz val="9.9499999999999993"/>
        <color rgb="FF0070C0"/>
        <rFont val="Arial"/>
        <family val="2"/>
      </rPr>
      <t>EMAS Sectoral Reference Documents (SRDs)</t>
    </r>
    <r>
      <rPr>
        <sz val="9.9499999999999993"/>
        <color rgb="FF1B1B1B"/>
        <rFont val="Arial"/>
        <family val="2"/>
      </rPr>
      <t xml:space="preserve"> could be consulted for sector-specific methodology and indicators on water withdrawal as well as industry standards and benchmarks.</t>
    </r>
  </si>
  <si>
    <t>The undertaking may provide additional explanatory information to contextualise its water withdrawals or consumption. For example, the undertaking may highlight if rainwater is collected and used as a replacement for tap water or if water is discharged into other parties for cascading use.</t>
  </si>
  <si>
    <t>Below can be found an example of how undertakings may present quantitative information on their withdrawals, discharges and consumption of water divided by site location.</t>
  </si>
  <si>
    <r>
      <t xml:space="preserve">The undertaking can consult local (e.g. national, regional) water authorities of the place(s) it operates in to inform its assessment of water resources for the specific location(s), including the identification of areas of high-water stress. The undertaking can also consult publicly available and free tools that map out water scarcity globally. One such tool is the </t>
    </r>
    <r>
      <rPr>
        <u/>
        <sz val="9.9499999999999993"/>
        <color rgb="FF0070C0"/>
        <rFont val="Arial"/>
        <family val="2"/>
      </rPr>
      <t>WRI’s Aqueduct Water Risk Atlas</t>
    </r>
    <r>
      <rPr>
        <sz val="9.9499999999999993"/>
        <color rgb="FF1B1B1B"/>
        <rFont val="Arial"/>
        <family val="2"/>
      </rPr>
      <t>, which provides an interactive map of a water stress indicator (the ‘baseline water stress’, which measures the ratio of total water demand to available renewable surface and groundwater supplies) at sub-basin level. With the help of this tool, undertakings can consult the water stress baseline set for different river basins globally. Values of the baseline water stress indicator above 40% indicate an area of high-water stress.</t>
    </r>
  </si>
  <si>
    <t>By way of illustration, the map below shows the main Iberian River basins and their water stress classification according to the WRI Aqueduct. In this image several water basins in the Iberian Peninsula, along with their water stress classification, can be observed. Most of the southern part of the peninsula sits in an area of significant high-water stress – with the exception of the Guadiana basin (in yellow). Thus, if the undertaking has operations within the Guadalquivir basin (e.g. the Andalucia region, which has a significant high-water stress level), the undertaking would have to disaggregate its water consumption for that region/water basin. But if its operations take place within the southern part of the Guadiana river basin (where there is low water stress), then it would not be necessary to disaggregate its water consumption for that region/water basin.</t>
  </si>
  <si>
    <t>Other possible tools that undertakings can consult to determine their location in water stressed areas are the static map (and related dataset) provided by the European Environment Agency (EEA) Water Exploitation Index plus (WEI+) for summer and Urban Morphological Zones (UMZ) and the interactive map Water exploitation index plus (WEI+) for river basin districts (1990-2015), both presenting the water stress indicator WEI+ that measures total water consumption as a percentage of the renewable freshwater resources at sub-basin level. WEI+ values equal or greater than 40% generally indicate situations of high-water stress. It is worth underlining that WRI Aqueduct bases its baseline water stress indicator on water demand, while the EEA indicator of water stress WEI+ is based on water consumption.</t>
  </si>
  <si>
    <t>When disclosing information on its products, material use and waste management, the undertaking may provide information in relation to circular economy principles. Circular economy principles are articulated in the paragraphs below. The key principles outlined by the Ellen Macarthur Foundation are underlined below while the key principles considered by the European Commission are italicised.</t>
  </si>
  <si>
    <t>Eliminate waste and pollution – this can be done through process improvements and also through design considerations at the level of usability, reusability, repairability, disassembly and remanufacturing.</t>
  </si>
  <si>
    <t>Circulate products and materials (at their highest value) – reusability and recycling are key for product circulation, but this is enhanced if special consideration is given to circularity at the design phase for issues such as usability, reusability, repairability, remanufacturing and disassembly. Factors such as the incorporation of biomaterials and their recirculation via the biological cycle can also be considered, for example using biodegradable crop covers instead of plastics in agriculture.</t>
  </si>
  <si>
    <t>Regenerate nature – whenever possible, human activities should seek to regenerate nature and improve or restore key ecological functions (i.e. drainage, habitat provision, thermal regulation, etc.) that may have been lost due to previous human activities.</t>
  </si>
  <si>
    <t>The requirements in paragraph 38 may be omitted by undertakings that generate only household waste. In such cases, the undertaking will only state that it generates this type of waste.</t>
  </si>
  <si>
    <t>When reporting on hazardous waste according to paragraph 38(a), the undertaking fulfils the requirements on radioactive waste of indicator number 9 from Table #1 of Annex 1 of the Sustainable Finance Disclosure Regulation (SFDR)10. This SFDR indicator (ratio between tonnes of radioactive and hazardous waste) can be computed by using the numerator and denominator that the undertaking provides when reporting according to paragraph 38(a).</t>
  </si>
  <si>
    <t>SMEs must disclose hazardous and radioactive waste if their operations involve generating such waste. Applicability depends on the presence of hazardous or radioactive materials in business processes.</t>
  </si>
  <si>
    <t>Undertakings are recommended to classify their hazardous waste using the European Waste Catalogue (EWC), which categorises waste by type. Any waste marked with an asterisk (*) is classified as hazardous in the EWC, normally with reference to ‘containing hazardous substances’. For example:</t>
  </si>
  <si>
    <t>(a) medical sector: contaminated sharps like needles and syringes used in medical settings (‘wastes whose collection and disposal is subject to special requirements in order to prevent infection’ EWC Code 18 01 03*), cytotoxic and cytostatic medicines (EWC Code 18 01 08*), spent radiopharmaceuticals, and certain diagnostic equipment containing radioactive materials;</t>
  </si>
  <si>
    <t>(b) manufacturing sector: used lubricants and oils classified as hazardous (EWC Code 13 02 05*);</t>
  </si>
  <si>
    <t>(c) construction sector: asbestos-containing materials (EWC Code 17 09 03*), soil and stones containing hazardous substances (EWC Code 17 05 03*), and</t>
  </si>
  <si>
    <t>(d) batteries and accumulators: lead batteries (16 06 01*), Ni-Cd batteries (16 06 02*), batteries containing mercury (16 06 03*).</t>
  </si>
  <si>
    <t>Nevertheless, a waste is considered hazardous if it displays one or more of the hazardous properties listed in Annex II of the Waste Framework Directive. For easier reference, these are presented below together with the respective pictograms to help identify hazardous properties such as flammability, toxicity and corrosiveness, which may lead to waste being classified as hazardous.</t>
  </si>
  <si>
    <t>Radioactive waste also has or can have hazardous properties that render it hazardous, namely carcinogenic, mutagenic or toxic for reproduction. Nevertheless, radioactive substances are subject to separate regulations within the EU11. Companies using radioactive materials with the ability of generating radioactive waste subject to EU regulation should be aware of it. Radioactive waste should be identified based on the presence of radionuclides at levels above regulatory clearance thresholds.</t>
  </si>
  <si>
    <t>Radioactive waste can be present in a variety of items such as medical, research and industrial equipment, smoke detectors, or sludges.</t>
  </si>
  <si>
    <t>Hazard Pictograms for each hazard class are presented below.</t>
  </si>
  <si>
    <t>When presenting information on its waste generation or diversion from disposal, the undertaking should preferably report such information in units of weight (e.g. kg or tonnes). Nevertheless, should the units of weight be considered an inappropriate unit by the undertaking, they may alternatively disclose the aforementioned metrics in volumes (e.g. m3) instead.</t>
  </si>
  <si>
    <t>When disclosing information on the total annual waste diverted to recycling or reuse, the undertaking should consider the waste that is sorted and sent to recycling or reuse operators (e.g. the amount of waste put into recycling container or sorting of waste into certain categories of materials and their delivery to waste treatment facilities) rather than the waste that gets effectively recycled or reused.</t>
  </si>
  <si>
    <t>When disclosing information on waste, the undertaking may adopt the following tables.</t>
  </si>
  <si>
    <t>Examples of hazardous wastes that small businesses may generate include batteries, used oils, pesticides, mercury-containing equipment and fluorescent lamps.</t>
  </si>
  <si>
    <t>The undertaking may provide further breakdowns specifying further types of non-hazardous and hazardous wastes. In doing so, it may consider the list of waste descriptions found in the European Waste Catalogue’s social metrics.</t>
  </si>
  <si>
    <t>To identify manufacturing, construction and/or packaging processes, the undertaking may refer to the activities that fall under Section C – Manufacturing, Section F – Construction as well as Class N82.92 ‘Packaging activities’ of Annex I to Regulation (EC) No 1893/200612.</t>
  </si>
  <si>
    <t>(b) total sealed area; </t>
  </si>
  <si>
    <t>The undertaking shall disclose the number and area (in hectares) of sites that it owns, has leased, or manages in or near a biodiversity sensitive area.</t>
  </si>
  <si>
    <t>The undertaking may disclose metrics related to land-use:</t>
  </si>
  <si>
    <t>(a) total use of land (in hectares);</t>
  </si>
  <si>
    <t>The mass flow of relevant materials used will result from the sum of the weight of all used materials, including raw materials, auxiliary materials, input materials, semi-finished products, or others (excluding energy sources and water).</t>
  </si>
  <si>
    <t>This indicator is to be preferably expressed in units of weight (e.g. kilograms or tonnes), volume (e.g. m³) or other metric units commonly used in the sector.</t>
  </si>
  <si>
    <t xml:space="preserve">The annual mass-flow is an indicator aligned with the EMAS requirements on efficiency of material consumption, and it illustrates an undertaking's dependency on specific materials in its operations (e.g. wood and steel for the construction industry). The undertaking is here required to provide information on the materials it uses, including both the materials acquired from suppliers and those sourced internally from production. To compute the annual mass-flow of the relevant materials it has used, the undertaking will need to first identify the specific key materials on which its operations are dependent and for which material efficiency needs to be evaluated (e.g. material efficiency of wood). If different types of materials are used, the undertaking will need to provide separately the annual mass-flow (i.e. total weight for each relevant material used, e.g. tonnes of wood purchased) for each key material in an appropriate manner, for example by breaking it down by the use to which they are put (EMAS, 2023). </t>
  </si>
  <si>
    <t>Full-time equivalent (FTE) is the number of full-time positions in an undertaking. It can be calculated by dividing an employee’s scheduled hours (total effective hours worked in a week) by the employer's hours for a full-time workweek (total hours performed by full-time employees). For example, an employee who works 25 hours every week for a company where the full-time week is 40 hours represents a 0,625 FTE (i.e. 25/ 40 hours).</t>
  </si>
  <si>
    <t>The following table shows how information on employees may be presented by type of employment contract.</t>
  </si>
  <si>
    <t>The following table shows how information on employees may be presented by gender.</t>
  </si>
  <si>
    <t>In some European Union Member States, it is possible for people to legally register themselves as having a third gender, often neutral, which is to be categorised as ‘other’ in the table above. If the undertaking is disclosing data about employees where this is not possible, it may explain this and indicate that the ‘other’ category is not applicable. The ‘not reported’ category applies to employees who do not disclose their gender identity.</t>
  </si>
  <si>
    <t>The following table shows how information on employees may be presented by countries.</t>
  </si>
  <si>
    <t>Definitions and types of employment contracts may vary depending on the country. If the undertaking has employees working in more than one country, it shall use the legal definitions stipulated in the national laws of the countries where the employees are based in to calculate country-level data. Such country-level data shall then be added up to calculate total numbers, disregarding differences in national legal definitions.</t>
  </si>
  <si>
    <t>Employee turnover refers to employees who leave the undertaking voluntarily or due to dismissal, retirement or death in service.</t>
  </si>
  <si>
    <t>In order to calculate the turnover rate, the formula below should be used.</t>
  </si>
  <si>
    <t>(Number of employess who left during the reporting year/Average number of employees during the reporting year) X 100</t>
  </si>
  <si>
    <t>Based on the assumption that one full-time worker works 2,000 hours per year, the rate indicates the number of work-related accidents per 100 full-time workers over a yearly time frame. If the undertaking cannot calculate directly the number of hours worked, it may estimate this on the basis of normal or standard hours of work.</t>
  </si>
  <si>
    <t>In order to calculate the rate of recordable work-related accidents of employees, the formula below should be used.</t>
  </si>
  <si>
    <t>(Number of work related accidents in the reporting year/Total number of hours worked in a year by all employees)X200,000</t>
  </si>
  <si>
    <t>(a) the number and rate of recordable work-related accidents; and </t>
  </si>
  <si>
    <r>
      <t xml:space="preserve">The undertaking shall disclose the following information regarding its </t>
    </r>
    <r>
      <rPr>
        <b/>
        <i/>
        <sz val="9.9499999999999993"/>
        <color rgb="FF1B1B1B"/>
        <rFont val="Arial"/>
        <family val="2"/>
      </rPr>
      <t>employees</t>
    </r>
    <r>
      <rPr>
        <sz val="9.9499999999999993"/>
        <color rgb="FF1B1B1B"/>
        <rFont val="Arial"/>
        <family val="2"/>
      </rPr>
      <t xml:space="preserve">: </t>
    </r>
  </si>
  <si>
    <t>Company A reported three work-related accidents in the reporting year. Company A has 40 employees, and a total number of 80,000 hours (40 x 2,000) worked in a year.</t>
  </si>
  <si>
    <t>The rate of recordable work-related accidents is 3/80,000 x 200,000 = 7.5.</t>
  </si>
  <si>
    <t>Work-related injuries and work-related ill health arise from exposure to dangers at work.</t>
  </si>
  <si>
    <t>In case of teleworking, injuries and ill health are work-related if the injury or ill health is directly related to the performance of work rather than the general home environment.</t>
  </si>
  <si>
    <t>In case of injuries and ill health that occur while a person is travelling for work, these are considered work-related if the employee was performing work activities in the interest of the employer at the time of the injury or ill health. Accidents taking place when travelling, outside of the undertaking’s responsibility (i.e. regular commuting to and from work), are subject to the applicable national legislation, which regulates their categorisation as to whether they are considered work-related or not.</t>
  </si>
  <si>
    <t>Mental illness is considered work-related if it has been notified voluntarily by the relevant worker and if an evaluation from a licensed healthcare professional stating that the illness in question is indeed work-related has been issued and notified, too. Health problems resulting from smoking, drug and alcohol abuse, physical inactivity, unhealthy diets and psychosocial factors not connected to work are not considered work-related.</t>
  </si>
  <si>
    <t>The undertaking may present separately fatalities resulting from work-related injuries and those resulting from work-related ill health.</t>
  </si>
  <si>
    <t>For the lowest pay category, excluding interns and apprentices, minimum wage serves as the foundation for calculating entry-level wage. Therefore, entry-level wage includes pay equal to minimum wage as well as any additional fixed payments guaranteed to employees in that category.</t>
  </si>
  <si>
    <t>The metric for the percentage gap between female and male employees addresses the principle of gender equality, which stipulates equal pay for equal work. The pay gap is defined as the difference of average pay levels between female and male employees expressed as the percentage of the average pay level of male employees.</t>
  </si>
  <si>
    <t>In order to compute this metric, all employees shall be included in the calculation. In addition, there should be two separate average pay calculations for female and male employees. See the formula below:</t>
  </si>
  <si>
    <t>((Average gross hourky pay level of male employees - average hourly pay level of famale employees)/ Average gross hourly pay level of male employees) X 100</t>
  </si>
  <si>
    <t>Depending on the undertaking’s remuneration policies, gross pay refers to all of the following elements:</t>
  </si>
  <si>
    <t>(a) base salary, which is the sum of guaranteed, short-term, non-variable cash compensation;</t>
  </si>
  <si>
    <t>(b) benefits in cash, which constitute the sum of the base salary and cash allowances, bonuses, commissions, cash profit-sharing and other forms of variable cash payments;</t>
  </si>
  <si>
    <t>(c) benefits in kind such as cars, private health insurance, life insurance and wellness programs; and</t>
  </si>
  <si>
    <t>(d) direct remuneration, which is the sum of benefits in cash, benefits in kind and the total fair value of all annual long-term incentives.</t>
  </si>
  <si>
    <t>The gross pay is the sum of all the applicable elements listed above.</t>
  </si>
  <si>
    <t>The average gross hourly pay is the weekly/annual gross pay divided by the average hours worked per week/year.</t>
  </si>
  <si>
    <t>Company A has X male employees and Y female employees in total. Male employees’ gross hourly pay is €15 and female employees’ gross hourly pay is €13.</t>
  </si>
  <si>
    <t>The average gross hourly pay level of male employees is the sum of all their gross hourly payments divided by the total number of male employees. The average gross hourly pay level of female employees is the sum of all their gross hourly payments divided by the total number of female employees.</t>
  </si>
  <si>
    <t>example</t>
  </si>
  <si>
    <t>The formula used to calculate the percentage pay gap between male and female employees is</t>
  </si>
  <si>
    <t>15−1315𝑥 100= 13.3%</t>
  </si>
  <si>
    <t>Guidance on collective bargaining coverage</t>
  </si>
  <si>
    <t>The employees covered by collective bargaining agreements are those individuals to whom the undertaking is obliged to apply the agreement. If an employee is covered by more than one collective bargaining agreement, it only needs to be counted once. If none of the employees are covered by a collective bargaining agreement, the percentage is zero.</t>
  </si>
  <si>
    <t>The percentage of employees covered by collective bargaining agreements is calculated by using the following formula.</t>
  </si>
  <si>
    <t>(Number of employees coverd by collective barganing agreements/number of employees)X100</t>
  </si>
  <si>
    <t>The information required by this disclosure requirement may be reported as coverage rates if the collective bargaining coverage is between 0-19%, 20-39%, 40-59%, 60-79% or 80-100%.</t>
  </si>
  <si>
    <t>This requirement is not aimed at obtaining the percentage of employees represented by a works council or belonging to trade unions, which can be different. The percentage of employees covered by collective bargaining agreements can be higher than the percentage of unionised employees when the collective bargaining agreements apply to both union and non-union members.</t>
  </si>
  <si>
    <t>Minimum wage’ refers to the minimum compensation of employment per hour or another unit of time. Depending on the country, the minimum wage might be set directly by law or through collective bargaining agreements. The undertaking shall refer to the applicable minimum wage for the country it reports on.</t>
  </si>
  <si>
    <t>Corruption and bribery fall under the business conduct sustainability issue.</t>
  </si>
  <si>
    <t>Under paragraph 43, the undertaking shall report on the total number of convictions and the total amount of fines incurred for violating anti-corruption and anti-bribery laws.</t>
  </si>
  <si>
    <t>Convictions for the violation of anti-corruption and anti-bribery laws refer to any verdict of a criminal court against an individual or undertaking in respect of a criminal offence related to corruption and bribery, for example where these court decisions are entered in the criminal record of the convicting European Union Member State.</t>
  </si>
  <si>
    <t>Guidance on convictions</t>
  </si>
  <si>
    <t>Fines issued for the violation of anti-corruption and anti-bribery laws refer to mandatory monetary penalties resulting from violations of anti-corruption and anti-bribery laws imposed by a court, commission or other government authority, which are paid to a public treasury.</t>
  </si>
  <si>
    <t>Guidance on fines</t>
  </si>
  <si>
    <t>General information</t>
  </si>
  <si>
    <t>When describing the main consumers and supplier relationships under paragraph 47 (c), the undertaking shall disclose the estimated number of suppliers, and their related sectors and geographies (i.e. countries).</t>
  </si>
  <si>
    <t>The guidance below is intended as part of an ecosystem that will include also the development of further support guidance by EFRAG, further digital tools and implementation support (educational activities, stakeholders’ engagement and so forth), aiming to facilitate some of the technical elements present in the guidance.</t>
  </si>
  <si>
    <t>This guidance is intended to support the preparation of metrics in the Comprehensive Module.</t>
  </si>
  <si>
    <t>Undertakings may use the following template to report on C2 datapoints.</t>
  </si>
  <si>
    <t>When determining whether disclosure of Scope 3 is appropriate following paragraph 50, the undertaking may screen its total Scope 3 GHG emissions based on the 15 Scope 3 categories identified by the GHG Protocol using appropriate estimates and report by incorporating this information by reference. This allows for the identification and disclosure of its significant Scope 3 categories based on the magnitude of their estimated GHG emissions and other criteria provided by the GHG Protocol Corporate Value Chain (Scope 3) Accounting and Reporting Standard (Version 2011, p. 61 and 65-68) or EN ISO 14064-1:2018 Annex H.3.2, such as financial spend, influence, related transition risks and opportunities or stakeholder views.</t>
  </si>
  <si>
    <t>SMEs operating with manufacturing, agrifood, real estate construction and packaging processes are likely to have significant Scope 3 categories (CDP, 2024), which may be considered relevant for reporting in the undertaking’s sector.</t>
  </si>
  <si>
    <t>Emission reductions can prove to be both a challenge and opportunity for an undertaking, as it often requires changes to the strategic and operational reality of the business. The goal of reducing emissions may require a review of strategic and financial priorities. Decarbonisation may require important initial investment in, for example, electrifying a fleet of vehicles, implementing new technologies to reduce energy consumption or developing new product lines that are less reliant on carbon-intensive materials. On the other hand, implementing low-carbon solutions to achieve GHG emission reduction can significantly lessen the costs of purchased energy and materials. Undertakings embarking on their decarbonisation journey are often facing important adjustments to their business models or daily operations. For instance, a logistics and delivery services undertaking may need to redesign its fleet management to minimise potential service disruptions due to the need of regular vehicle charging. A consumer goods manufacturing undertaking planning to replace a component of its product with a sustainable, low-carbon alternative may need to allocate time and resources to product innovation and to searching for new suppliers. These efforts can, in turn, result in reducing costs, accessing new markets, creating new workplaces and attracting additional financing, making GHG emission reduction not only a challenge, but also a strategic business opportunity. In this context, targets for GHG reductions are an important measure of responding to the need for a sustainable transition, as they allow undertakings to manage the change in a systematic, controlled and organised way.</t>
  </si>
  <si>
    <t>A GHG emission reduction target is a commitment to reduce the undertaking’s GHG emissions in a future year compared to the GHG emissions measured during a chosen base year. Actions that may lead to emission reductions include, for instance, electrification, renewable electricity, sustainable products development, etc. Disclosure C3 requires that the undertaking discloses GHG emission reduction targets for its Scope 1 and Scope 2 emissions.</t>
  </si>
  <si>
    <t>Removals and avoided emissions shall not be accounted as reduction of the undertaking’s gross GHG emissions. This is due to the important distinction between accounting practices for gross GHG emissions (inventory accounting) and GHG removals and avoided emissions (project-based or intervention accounting). Gross GHG emissions of the undertaking are designed to track the actual emissions released to the environment, providing a consistent and comparable baseline to set up GHG targets. Avoided emissions and carbon removals, on the other hand, relate to specific project activities of the undertaking, which means that their accounting is done separately from gross GHG emissions.</t>
  </si>
  <si>
    <t>To follow this practice, the undertaking needs to distinguish between its gross GHG emissions and other impacts which are not captured in it, such as GHG removals and avoided emissions.Removals refer to the withdrawal of GHG from the atmosphere as a result of deliberate human activities. Examples of such activities can include plant growth (transfer of atmospheric CO2 through photosynthesis) and direct air capture of CO2 and are typically linked to the subsequent storage of CO2. Avoided GHG emissions are typically referred to as emissions that would have otherwise happened but that, as a result of the undertaking’s activities, did not happen. These may include introducing new products and technologies that reduce demand for their carbon-intensive equivalents, for example insulation solutions in a building that avoid the demand for energy services therein. More information on the concepts related to carbon removals and avoided emissions can be found in the GHG Protocol Land Sector and Removals Guidance13 as well as the WBCSD guidance14.</t>
  </si>
  <si>
    <t>A base year is a preceding year against which the undertaking’s current GHG emissions can be measured. In general, the base year should be a recent and representative year of the undertaking’s GHG emissions in which there are verifiable data.</t>
  </si>
  <si>
    <t>The target year is the year in the future in which the undertaking aims to achieve a certain absolute or percentage amount of GHG emission reductions. It should range over a period from one to three years from the base year to a short-term target. Longer term targets may also be included, for instance, for periods of twenty or thirty years (e.g. 2040 or 2050). Undertakings are encouraged to include target values for the short-term target year of 2030 at the least and, if feasible, for the long-term year of 2050. From 2030 onwards, it is recommended to update the base year and target year for GHG emission reduction targets after every five-year period.</t>
  </si>
  <si>
    <t>To set a target, undertakings should consider the existing scientific evidence on GHG mitigation. The SBTi recommends a cross-sector target in GHG emissions reduction of -42% by the year 2030 and -90% by the year 2050 (base year 2020). The Stockholm Resilience Centre also proposes a ‘carbon law’ that sets out concrete steps to achieve full decarbonisation by 2050 based on a flexible way of thinking about reducing carbon emissions by halving emissions every decade and increasing renewable energy roll-out exponentially. The authors argued that this roadmap would ensure a 75% chance of keeping the Earth below 2°C above pre-industrial temperatures – the target set out in the Paris agreement15. SBTi also proposes a streamlined target-setting route for small- and medium-sized undertakings16. Specific pathways also exist by sector and may be considered by undertakings when setting their GHG emission reduction targets.</t>
  </si>
  <si>
    <t>To achieve a quick reduction of both direct and indirect emissions, there are some simple actions that the undertaking can take. Some actions may be easy but still able to deliver a notable emission reduction and support the undertaking reaching its targets. For instance, electrification of the vehicle fleet by replacing vehicles running on fossil fuel with electric vehicles will lead to emission reduction as soon as the previous fleet is replaced. This can mean notable emission reduction especially for a business that is reliant on transportation. Similarly, replacing commutes and business travels by car with low carbon alternatives such as bicycles or public transport is an effective, simple and achievable decarbonisation action. Another area of low-hanging fruit is to review the internal energy management and update it to energy-efficient equipment and integrate maintenance into routine business operations. By regularly maintaining equipment and machinery and replacing these with more energy-efficient alternatives when and where possible, the undertaking can reduce its energy consumption. Such equipment can include, for example, boilers, telecommunication systems, heat pumps, air-conditioning etc. Through regular maintenance their efficient operation can be ensured, wear and tear minimised and waste minimised. By also automating systems and using timers to define periods of use, the undertaking is able to lower the emissions of such equipment even further.</t>
  </si>
  <si>
    <t>A climate transition plan for climate change mitigation is a set of present and future actions meant to align the undertaking’s business model, strategy and operations with the key overarching global goal of limiting global warming to 1.5°C. Underpinned by a GHG reduction target compatible with that goal, the importance of having a transition plan in place lies in the ability of understanding the means by which the undertaking will move towards a low-carbon economy while keeping track of the progress made. A transition plan serves as a mechanism for accountability and transparency, prompting undertakings to develop credible pathways for mitigating climate change through their actions.</t>
  </si>
  <si>
    <t>Establishing a credible transition plan for the undertaking is something that should be supported by elements such as (a) identifying clear responsibilities and roles; (b) integrating the plan into the undertaking’s business strategy and financial planning; (c) including information on decarbonisation levers and pathways as well as quantifiable indicators that can be monitored throughout predefined timeframes; (d) allowing for regular reviewing and updating after stakeholder consultations when appropriate; and (e) covering the entirety of its own operations and, to the largest possible extent, the value chain or else providing an explanation as to any limitation.</t>
  </si>
  <si>
    <t>Undertakings that are disclosing targets according to the EMAS Regulation Annex IV B (d) may use its GHG reduction targets to fulfil the VSME requirement if it has set such targets. The undertaking may also support this disclosure through its implementation of the EMAS environmental management system and link to EN ISO 14001:2015 as set out by EMAS Regulation Annex II B A.6.2.1 and B.5 (environmental objectives).</t>
  </si>
  <si>
    <t>Guidance on how to identify manufacturing, constructions and /or packaging processes</t>
  </si>
  <si>
    <t>To identify manufacturing, construction and/or packaging processes, the undertaking may refer to these activities that fall under Section C – Manufacturing, Section F Construction as well as Class N82.92 ‘Packaging activities’ of Annex I to Regulation (EC) No 1893/2006.</t>
  </si>
  <si>
    <t>Climate-related hazards are drivers of climate-related physical risks that arise from the effects that climate change has on the undertaking. They can be classified into acute hazards, which arise from particular events (such as droughts, floods, extreme precipitations and wildfires), and chronic hazards (such as changing temperatures, sea level rise and soil erosion), which arise from longer-term changes in the climate (Commission delegated regulation 2021/2139). Physical risks are a function of climate-related hazards, the exposure of the undertaking’s assets and activities to these hazards, and how sensitive the undertaking is to these hazards. Examples of climate-related hazards are heat waves, increased frequency of extreme weather events, sea level rise, glacial lake outburst flood and change in precipitation and wind patterns. Climate-related physical risks can be identified and modelled by using climate scenarios that consider high emissions trajectories such as IPCC SSP5-8.5.</t>
  </si>
  <si>
    <t>Climate-related transition events may be (according to TCFD classification) policy- and legal-based (e.g. enhanced emission-reporting obligations), technology-based (e.g. costs of transition to lower emissions technology), market-based (e.g. increased cost of raw materials) and reputation-based (e.g. increased stakeholder concern).</t>
  </si>
  <si>
    <t>Gross climate-related risks refer to gross physical risks and gross transition risks that may result from exposure of the undertaking's assets and business activities to climate-related hazards.</t>
  </si>
  <si>
    <t>To determine the gender ratio, divide the number of female employees by the number of male employees at management level. This will yield the proportion of women to men in your company.</t>
  </si>
  <si>
    <t>Gender ratio= number of famale employees at management level/number of male employee at management level</t>
  </si>
  <si>
    <t>Management level is considered the level below the board of directors unless the undertaking has a specific definition to use.</t>
  </si>
  <si>
    <t>For example, if there are 28 female employees and 84 male employees at management level, the gender ratio would be 1:3, meaning that for every woman at management level, there are three men.</t>
  </si>
  <si>
    <t>Relevant factors for an undertaking to consider in deciding whether or not to disclose the number of self-employed workers and temporary workers under paragraph 60 would be: (1) the ratio of employees to self-employed and temporary workers, especially in case of significant and/or increasing reliance or (2) when the risk of negative social impacts on self-employed or temporary workers is greater compared to the undertaking’s own employees.</t>
  </si>
  <si>
    <t>The following table shows how information on self-employed people without personnel that are working exclusively for the undertaking and temporary workers provided by undertakings primarily engaged in employment activities may be presented.</t>
  </si>
  <si>
    <t>Undertakings can refer to NACE Code N78 for temporary workers provided by undertakings primarily engaged in ‘employment activities’.</t>
  </si>
  <si>
    <t>Undertakings that have a due diligence process for human rights in place can answer positively (YES) and could clarify the contents of the policies and/or processes using the drop-down menu.</t>
  </si>
  <si>
    <t>Additional own workforce information - Human rights policies and processes</t>
  </si>
  <si>
    <t>A “confirmed incident” refers to a legal action or complaint registered with the undertaking or competent authorities through a formal process, or an instance of non-compliance identified by the undertaking through established procedures. Established procedures to identify instances of non-compliance can include management system audits, formal monitoring programs, or grievance mechanisms.</t>
  </si>
  <si>
    <t>Revenues from certain sectors and exclusion from EU reference benchmarks</t>
  </si>
  <si>
    <t>Gender diversity ratio in governance body</t>
  </si>
  <si>
    <t>The undertaking shall disclose whether it is excluded from any EU reference benchmarks that are aligned with the Paris Agreement as described in paragraph 241 of the guidance.</t>
  </si>
  <si>
    <t>Fossil fuels, as defined in Article 2(62), of Regulation (EU) 2018/1999 of the European Parliament and the Council, are non-renewable carbon-based energy sources such as solid fuels, natural gas and oil.</t>
  </si>
  <si>
    <t>The production of chemicals refers to the activities listed under Division 20.2 of Annex I to Regulation (EC) No 1893/2006, i.e. the manufacturing of pesticides and other agrochemical products.</t>
  </si>
  <si>
    <t>As defined by Article 12.1 and 12.2 of the Commission Delegated Regulation (EU) 2020/1818, the companies excluded from EU Paris-aligned Benchmarks are the following:</t>
  </si>
  <si>
    <t>(a) companies that derive 1% or more of their revenues from exploration, mining, extraction, distribution or refining of hard coal and lignite;</t>
  </si>
  <si>
    <t>(b) companies that derive 10% or more of their revenues from the exploration, extraction, distribution or refining of oil fuels;</t>
  </si>
  <si>
    <t>(c) companies that derive 50% or more of their revenues from the exploration, extraction, manufacturing or distribution of gaseous fuels; and</t>
  </si>
  <si>
    <t>(d) companies that derive 50% or more of their revenues from electricity generation with a GHG intensity of more than 100 g CO2 e/kWh.</t>
  </si>
  <si>
    <t>The governance body refers to the highest decision-making authority in a company. Depending on the jurisdiction the company is in and its legal entity classification, the governance body can vary in format.</t>
  </si>
  <si>
    <t>Based on the requirements in the SFDR, the gender diversity ratio of the governance body is calculated as an average ratio of female to male board members.</t>
  </si>
  <si>
    <t>The governance body of a certain SME is composed of six members, including three women. The gender diversity ratio is one – for every female member there is one male member.</t>
  </si>
  <si>
    <t xml:space="preserve">(d) the share of Scope 1, Scope 2 and, if disclosed, Scope 3 that the target concerns; and </t>
  </si>
  <si>
    <t>(e) a list of main actions it seeks to implement to achieve its targets. </t>
  </si>
  <si>
    <t>(e) a list of main actions it seeks to implement to achieve its targets.</t>
  </si>
  <si>
    <t>Gender diversity ratio= (the number of female member/the number of male member)</t>
  </si>
  <si>
    <t>Typical Scope 1 emissions include CO2 (as well as CH4 and N2O) emissions associated with fuel combustion (for example in boilers, furnaces, vehicles, etc.) and fugitive emissions from air conditioning and industrial processes.</t>
  </si>
  <si>
    <t>Sites</t>
  </si>
  <si>
    <t>Address</t>
  </si>
  <si>
    <t>Postal Code</t>
  </si>
  <si>
    <t>City</t>
  </si>
  <si>
    <t>Country</t>
  </si>
  <si>
    <t>Coordinates (geolocation)</t>
  </si>
  <si>
    <t>Registered Office (e.g.)</t>
  </si>
  <si>
    <t>Warehouse (e.g.)</t>
  </si>
  <si>
    <t>Industrial Plant (e.g.)</t>
  </si>
  <si>
    <t>Sustainability Issue</t>
  </si>
  <si>
    <t>Do you have existing sustainability practices/policies/future initiatives
 that address this? [YES/NO]</t>
  </si>
  <si>
    <t>Are they 
publicly available?
 [YES/NO]</t>
  </si>
  <si>
    <t>Do the policies 
have any targets? 
[YES/NO]</t>
  </si>
  <si>
    <t>Climate Change</t>
  </si>
  <si>
    <t>Pollution</t>
  </si>
  <si>
    <t xml:space="preserve">Water and Marine Resources </t>
  </si>
  <si>
    <t>Biodiversity and Ecosystems</t>
  </si>
  <si>
    <t>Circular Economy</t>
  </si>
  <si>
    <t>Own Workforce</t>
  </si>
  <si>
    <t>Workers in the Value Chain</t>
  </si>
  <si>
    <t>Affected Communities</t>
  </si>
  <si>
    <t>Consumers and end-users</t>
  </si>
  <si>
    <t>Business conduct</t>
  </si>
  <si>
    <t>Renewable</t>
  </si>
  <si>
    <t>Non-renewable</t>
  </si>
  <si>
    <t>Total</t>
  </si>
  <si>
    <t>Electricity (as reflected in utility billings)</t>
  </si>
  <si>
    <t>Fuels</t>
  </si>
  <si>
    <t>Non-renewable
Energy Comsuption (MWh)</t>
  </si>
  <si>
    <t>Total 202(x) Energy 
consuption (MWh)</t>
  </si>
  <si>
    <t>Renewale Energy
 Consuption (MWh)</t>
  </si>
  <si>
    <t>202(x) GHG emissions 
(tCO2e)</t>
  </si>
  <si>
    <t xml:space="preserve">Scope 1 </t>
  </si>
  <si>
    <t>Scope 2</t>
  </si>
  <si>
    <t>GHG evaluation method</t>
  </si>
  <si>
    <t>Measuring</t>
  </si>
  <si>
    <t xml:space="preserve">Calculating </t>
  </si>
  <si>
    <t>Details</t>
  </si>
  <si>
    <t>Necessary dara</t>
  </si>
  <si>
    <t>Multiplying the quantities 
of gas directly measured by their respective global warming potential.</t>
  </si>
  <si>
    <t>Multiplying the activity
 data by the emission factor (EF) that integrates the global warming potential (GWP)</t>
  </si>
  <si>
    <t>Activity data 
Emission factors (EF)</t>
  </si>
  <si>
    <t>Direct quantity of gas
 emitted obtained from gas measurement (flow, concentration, volume) 
Global warming potential (GWP) of the gases</t>
  </si>
  <si>
    <t>Emission factors (FE)</t>
  </si>
  <si>
    <t>Global farming potential (GWP)</t>
  </si>
  <si>
    <t>ADEME – Base Empreinte®
IPCC – Emissions Factor Database
IPCC – Guidelines for National Greenhouse Gas Inventories
Association of Issuing Bodies (AIB) – Residual Mix Grid Emission Factors
JRC – Historical GHG emissions factor for electricity consumption
Life-cycle electricity production emission factors
USEPA GHG emission factors Hub
Emission Factors and reference values published by the Government of Canada
IEA’s Annual GHG emission factors for World countries from electricity and heat generation (2022 data set, paid data set)</t>
  </si>
  <si>
    <t>IPCC – Global Warming Potential</t>
  </si>
  <si>
    <t>Emission (Kg)</t>
  </si>
  <si>
    <t xml:space="preserve">Pollutant </t>
  </si>
  <si>
    <t>Medium of realese
(air,water,soil)</t>
  </si>
  <si>
    <t>e.g. Cadmium and compounds</t>
  </si>
  <si>
    <t>Type of pollutant 2</t>
  </si>
  <si>
    <t>Type of pollutant 3</t>
  </si>
  <si>
    <t xml:space="preserve">Source of pollution </t>
  </si>
  <si>
    <t>Methodology for quantifying emissions
(Section in the guidance)</t>
  </si>
  <si>
    <t>Electricity</t>
  </si>
  <si>
    <t>Fuel combustion</t>
  </si>
  <si>
    <t>Transport</t>
  </si>
  <si>
    <t>Industrial processes</t>
  </si>
  <si>
    <t>Agriculture</t>
  </si>
  <si>
    <t>Waste</t>
  </si>
  <si>
    <t>Section 4,1</t>
  </si>
  <si>
    <t>Section 4,2</t>
  </si>
  <si>
    <t>Section 4,3</t>
  </si>
  <si>
    <t>Section 4,4</t>
  </si>
  <si>
    <t>Section 4,5</t>
  </si>
  <si>
    <t>Section 4,6</t>
  </si>
  <si>
    <t>Activity</t>
  </si>
  <si>
    <t>Environmental aspect</t>
  </si>
  <si>
    <t>Environmental impact</t>
  </si>
  <si>
    <t>Trasport</t>
  </si>
  <si>
    <t>Costruction</t>
  </si>
  <si>
    <t>Office services</t>
  </si>
  <si>
    <t>Chemical industry</t>
  </si>
  <si>
    <t>consumed machine oil, fuel consumption
- vehicle emissions
- tyre abrasion (fine dust)</t>
  </si>
  <si>
    <t>primary raw material (resource) consumption
- air emissions, noise, vibrations, etc. From construction machinery
- land consumption</t>
  </si>
  <si>
    <t>consumption of materials, (e.g. paper, toner)
- electricity consumption (leads to indirect CO2 emissions)</t>
  </si>
  <si>
    <t>primary raw material (resource) consumption
- wastewater
- emissions of volatile organic compounds
- emissions of ozone-depleting substances</t>
  </si>
  <si>
    <t>1. raw material availability
2. water pollution
3. photochemical ozone
4. destruction of the ozone layer</t>
  </si>
  <si>
    <t>1. generation of mixed municipal waste
2. greenhouse effect</t>
  </si>
  <si>
    <t>1. raw material availability
2. noise, soil, water, air pollution
3. destruction of ground cover
4. biodiversity loss</t>
  </si>
  <si>
    <t>1. soil, water, air pollution
2.  greenhouse effect, noise</t>
  </si>
  <si>
    <t>Location</t>
  </si>
  <si>
    <t>Area</t>
  </si>
  <si>
    <t>Biodiversity sensitive Area</t>
  </si>
  <si>
    <t>Specification</t>
  </si>
  <si>
    <t>Country –
Site name 1</t>
  </si>
  <si>
    <t>Country –
Site name 2</t>
  </si>
  <si>
    <t>Country –
Site name 3</t>
  </si>
  <si>
    <t>…</t>
  </si>
  <si>
    <t>Land-use type</t>
  </si>
  <si>
    <t>Area (hectares or m2)
Previous year</t>
  </si>
  <si>
    <t>Area (hectares or m^2)
Reporting year</t>
  </si>
  <si>
    <t>Area (hectares or m^2)
% change</t>
  </si>
  <si>
    <t>Total sealed area</t>
  </si>
  <si>
    <t>Total nature-oriented area on-site</t>
  </si>
  <si>
    <t>Total nature-oriented area off-site</t>
  </si>
  <si>
    <t>Total use of land</t>
  </si>
  <si>
    <t>Water withdrawal
E.g. m^3</t>
  </si>
  <si>
    <t>Water consuption
E.g. m^4</t>
  </si>
  <si>
    <t>All sites</t>
  </si>
  <si>
    <t>Sites in area with water stress</t>
  </si>
  <si>
    <t>Waste generate (e.g. tonnes)</t>
  </si>
  <si>
    <t>Total waste generated, of which:</t>
  </si>
  <si>
    <t>Waste diverted
to recycle or reuse</t>
  </si>
  <si>
    <t>Waste directed to dispos</t>
  </si>
  <si>
    <t>Non-hazardous waste</t>
  </si>
  <si>
    <t>Type of waste1</t>
  </si>
  <si>
    <t>Type of waste2</t>
  </si>
  <si>
    <t>Hazardous waste</t>
  </si>
  <si>
    <t>Temporary contract</t>
  </si>
  <si>
    <t>Permanent contract</t>
  </si>
  <si>
    <t>Total employees</t>
  </si>
  <si>
    <t>Number of employees 
(headcount or full-time equivalents)</t>
  </si>
  <si>
    <t>Type of contract</t>
  </si>
  <si>
    <t>Gender</t>
  </si>
  <si>
    <t>Male</t>
  </si>
  <si>
    <t>Female</t>
  </si>
  <si>
    <t>Other</t>
  </si>
  <si>
    <t>Not reported</t>
  </si>
  <si>
    <t>Hazard pictogram</t>
  </si>
  <si>
    <t>Pictogram statement, symbol and class</t>
  </si>
  <si>
    <t>What does it mean?</t>
  </si>
  <si>
    <t>‘Gas under pressure’
Symbol: Gas cylinder
Physical Hazard</t>
  </si>
  <si>
    <t>‘Explosive’
Symbol: Exploding bomb
Physical Hazard</t>
  </si>
  <si>
    <t>‘Oxidising’
Symbol: Flame over circle
Physical Hazard</t>
  </si>
  <si>
    <t>‘Flammable’
Symbol: Flame
Physical Hazard</t>
  </si>
  <si>
    <t>‘Corrosive’
Symbol: Corrosion
Physical Hazard / Health Hazard</t>
  </si>
  <si>
    <t>‘Health hazard/Hazardous to the ozone layer’
Symbol: Exclamation mark
Health Hazard</t>
  </si>
  <si>
    <t>‘Acute toxicity’
Symbol: Skulls and Crossbones
Health Hazard</t>
  </si>
  <si>
    <t>‘Serious health hazard’
Symbol: Health Hazard
Health Hazard</t>
  </si>
  <si>
    <t>‘Hazardous to the environment’
Symbol: Environment
Environmental Hazard</t>
  </si>
  <si>
    <t>•Extremely flammable gas
•Flammable gas
•Extremely flammable aerosol
•Flammable aerosol
•Highly flammable liquid and vapour
•Flammable liquid and vapour
•Flammable solid</t>
  </si>
  <si>
    <t>•May be corrosive to metals
•Causes severe skin burns and eye damage</t>
  </si>
  <si>
    <t>•May cause respiratory irritation
•May cause drowsiness or dizziness
•May cause an allergic skin reaction
•Causes serious eye irritation
•Causes skin irritation
•Harmful if swallowed
•Harmful in contact with skin
•Harmful if inhaled
•Harms public health and the environment by destroying ozone in the upper atmosphere</t>
  </si>
  <si>
    <t>•Fatal if swallowed
•Fatal in contact with skin
•Fatal if inhaled
•Toxic: if swallowed
•Toxic in contact with skin
•Toxic if inhaled</t>
  </si>
  <si>
    <t>•Contains gas under pressure; may explode if heated
•Contains refrigerated gas; may cause cryogenic burns or injury</t>
  </si>
  <si>
    <t>•Unstable explosive
•Explosive; mass explosion hazard
•Explosive; severe projection hazard
•Explosive; fire, blast or projection hazard
•May mass explode in fire</t>
  </si>
  <si>
    <t>•May cause or intensify fire; oxidiser.
•May cause fire or explosion; strong oxidiser.</t>
  </si>
  <si>
    <t>•May be fatal if swallowed and enters airways
•Causes damage to organs
•May cause damage to organs
•May damage fertility or the unborn child
•Suspected of damaging fertility or the unborn child
•May cause cancer
•Suspected of causing cancer
•May cause genetic defects
•Suspected of causing genetic defects
•May cause allergy or asthma symptoms or breathing difficulties if inhaled</t>
  </si>
  <si>
    <t>•Very toxic to aquatic life with long-lasting effects
•Toxic to aquatic life with long-lasting effects</t>
  </si>
  <si>
    <t>Country (of employment contract)</t>
  </si>
  <si>
    <t>Country A</t>
  </si>
  <si>
    <t>Country B</t>
  </si>
  <si>
    <t>Country C</t>
  </si>
  <si>
    <t>Country D</t>
  </si>
  <si>
    <t>If you answered YES to existing practices/ policies/ future initiatives in disclosure B2, please briefly describe them along with their consequent actions. (In case the practice/ policy/ future initiative covers suppliers or clients, the undertaking shall mention it)</t>
  </si>
  <si>
    <t>You may indicate the highest senior level in the undertaking accountable for implementing them [if any]</t>
  </si>
  <si>
    <t>Water and Marine Resources</t>
  </si>
  <si>
    <t>Types of workers</t>
  </si>
  <si>
    <t>Total self-employed without personnel that are working
 exclusively for the undertaking</t>
  </si>
  <si>
    <t>Total temporary workers provided by undertakings 
primarily engaged in employment activities</t>
  </si>
  <si>
    <t>Number of self-employed people and temporary workers engaged in employment activities</t>
  </si>
  <si>
    <t>1 Material or document where this info is stored</t>
  </si>
  <si>
    <t>Interview management ESG</t>
  </si>
  <si>
    <t>HR reporting</t>
  </si>
  <si>
    <t>If the undertaking wants to provide more comprehensive information, it may also integrate the metrics required from B1 to B11 with disclosures, selecting them from the Comprehensive Module.</t>
  </si>
  <si>
    <t>Interview Legal dept OR HR dept OR Procurement dept</t>
  </si>
  <si>
    <t>Balance/economics</t>
  </si>
  <si>
    <t>ISO 14001</t>
  </si>
  <si>
    <t>If the undertaking has obtained any sustainability-related certification or label, it shall provide a brief description of those (including, where relevant, the issuers of the certification or label, date and rating score).  </t>
  </si>
  <si>
    <t>Interview Quality dept</t>
  </si>
  <si>
    <t>HR/HSE action plane</t>
  </si>
  <si>
    <t>HR/HSE policies</t>
  </si>
  <si>
    <t>Transition plane</t>
  </si>
  <si>
    <t>Resilience analysis</t>
  </si>
  <si>
    <t>Interview HR dept</t>
  </si>
  <si>
    <t>Interview Legal dept</t>
  </si>
  <si>
    <t>Interview HR dept AND HSE dept</t>
  </si>
  <si>
    <t>Environmental monitoring data</t>
  </si>
  <si>
    <t>HSE reporting</t>
  </si>
  <si>
    <t>Interview Procurement dept</t>
  </si>
  <si>
    <t>Interview HSE dept</t>
  </si>
  <si>
    <t>Enviromental monitoring data</t>
  </si>
  <si>
    <t>Interview Quality/Purchases dept</t>
  </si>
  <si>
    <t>Energy bills OR Technical datasheets</t>
  </si>
  <si>
    <t>As for gross greenhouse gas emissions (GHG) arising from the undertaking’s activities, the requirement in paragraph 30 builds on the definitions and rules of the GHG Protocol, the leading accounting standard for GHG emissions. Under paragraph 30, undertakings are to report on their Scope 1 and Scope 2 emissions. Scope 1 GHG emissions cover direct emissions from owned or controlled sources. Scope 2 emissions are indirect GHG emissions resulting from the activities of the reporting company (as they derive from the undertaking’s consumed energy) which, however, occur at sources owned or controlled by another company. Further guidance is provided in the sections below on how to calculate Scope 1 and 2 emissions.</t>
  </si>
  <si>
    <t>Technical datasheets</t>
  </si>
  <si>
    <t>GHG Inventory OR Energy reporting</t>
  </si>
  <si>
    <t>HSE REPORTING</t>
  </si>
  <si>
    <t>GHG Inventory template</t>
  </si>
  <si>
    <t>GHG Protocol official guidelines OR ESG internal policy</t>
  </si>
  <si>
    <t>GHG Protocol official guidelines</t>
  </si>
  <si>
    <t>Interview HSE dept OR management ESG</t>
  </si>
  <si>
    <t>GHG Inventory</t>
  </si>
  <si>
    <t>Interview Quality/Purchases dept OR Energy manager</t>
  </si>
  <si>
    <t>Energy bills OR GHG Inventory</t>
  </si>
  <si>
    <t>Fuel receipts OR utility bills</t>
  </si>
  <si>
    <t>IPCC emission tables</t>
  </si>
  <si>
    <t>IPCC AR6</t>
  </si>
  <si>
    <t>Interview Energy manager OR Purchases dept</t>
  </si>
  <si>
    <t>Legal compliance report OR EMAS</t>
  </si>
  <si>
    <t xml:space="preserve">IEPR OR E-PRTR </t>
  </si>
  <si>
    <t xml:space="preserve">The Guide represents an example of a simple methodology for developing a company's air pollutant emission inventory and calculating the emissions of respective air pollutants. This methodology is divided into the following steps; excluding the mapping of the value chain as under the VSME Standard the information required by this Disclosure Requirement is to be reported at the level of the reporting company: </t>
  </si>
  <si>
    <t xml:space="preserve">Interview HSE dept
</t>
  </si>
  <si>
    <t>Interview Quality/IT dept</t>
  </si>
  <si>
    <t>EMAS report OR Environmental monitoring data</t>
  </si>
  <si>
    <t>Water data</t>
  </si>
  <si>
    <t>image</t>
  </si>
  <si>
    <t>(a) the total annual generation of waste broken down by type (non-hazardous and hazardous);  </t>
  </si>
  <si>
    <t>(b) the total annual waste diverted to recycling or reuse; and</t>
  </si>
  <si>
    <t>Non-conformance list</t>
  </si>
  <si>
    <t>Sustainability/CSR policies</t>
  </si>
  <si>
    <t>Procurement Reporting</t>
  </si>
  <si>
    <t>HR REPORTING</t>
  </si>
  <si>
    <r>
      <t xml:space="preserve">(b) the percentage gap in </t>
    </r>
    <r>
      <rPr>
        <b/>
        <i/>
        <sz val="9.9499999999999993"/>
        <color rgb="FF1B1B1B"/>
        <rFont val="Arial"/>
        <family val="2"/>
      </rPr>
      <t xml:space="preserve">pay </t>
    </r>
    <r>
      <rPr>
        <sz val="9.9499999999999993"/>
        <color rgb="FF1B1B1B"/>
        <rFont val="Arial"/>
        <family val="2"/>
      </rPr>
      <t xml:space="preserve">between its female and male </t>
    </r>
    <r>
      <rPr>
        <b/>
        <i/>
        <sz val="9.9499999999999993"/>
        <color rgb="FF1B1B1B"/>
        <rFont val="Arial"/>
        <family val="2"/>
      </rPr>
      <t>employees</t>
    </r>
    <r>
      <rPr>
        <sz val="9.9499999999999993"/>
        <color rgb="FF1B1B1B"/>
        <rFont val="Arial"/>
        <family val="2"/>
      </rPr>
      <t>. The undertaking may  omit this disclosure when its headcount is below 150 employees noting that this threshold  will be reduced to 100 employees from 7 June 2031; </t>
    </r>
  </si>
  <si>
    <t>Remuneration policy</t>
  </si>
  <si>
    <t>HR/Legal Reporting</t>
  </si>
  <si>
    <t>CFO/Legal Reporting</t>
  </si>
  <si>
    <t>Business conduct Policies and Management Systems</t>
  </si>
  <si>
    <t>Governance overview</t>
  </si>
  <si>
    <t>Interview top management</t>
  </si>
  <si>
    <t>GHG inventory</t>
  </si>
  <si>
    <t>Interview Risk manager OR ESG</t>
  </si>
  <si>
    <t>Interview ESG OR Risk manager</t>
  </si>
  <si>
    <t>Interview risk manager OR ESG</t>
  </si>
  <si>
    <t>Interview ESG OR HSE dept</t>
  </si>
  <si>
    <t>Interview  ESG</t>
  </si>
  <si>
    <t>Interview Risk manager</t>
  </si>
  <si>
    <t>Risk management documentation</t>
  </si>
  <si>
    <t>HSE Reporting</t>
  </si>
  <si>
    <t>Financial Reporting / Scenario analysis</t>
  </si>
  <si>
    <t>IPCC scenarios / Risk maps</t>
  </si>
  <si>
    <t>Interview HR OR Legal dept</t>
  </si>
  <si>
    <t>HR POLICY</t>
  </si>
  <si>
    <t>Interview HR dept OR ESG dept</t>
  </si>
  <si>
    <t>HSE POLICY</t>
  </si>
  <si>
    <t>Interview HSE dept OR HR dept</t>
  </si>
  <si>
    <t>Interview HR dept OR Legal dept</t>
  </si>
  <si>
    <t>Interview top managemen</t>
  </si>
  <si>
    <t>Fuel receipts</t>
  </si>
  <si>
    <t>Utility bills + EF</t>
  </si>
  <si>
    <t>Interview Energy manager OR Procurement dept</t>
  </si>
  <si>
    <t>Interview Legal dept OR HSE</t>
  </si>
  <si>
    <t>Yes</t>
  </si>
  <si>
    <t>Yes, but integration needed</t>
  </si>
  <si>
    <t>No, but planned</t>
  </si>
  <si>
    <t>No</t>
  </si>
  <si>
    <t>COPIA QUI
&lt;-</t>
  </si>
  <si>
    <t>GENERAL INFORMATION</t>
  </si>
  <si>
    <t>Item available?</t>
  </si>
  <si>
    <t>Comments</t>
  </si>
  <si>
    <t>MODULO B - (BASE)</t>
  </si>
  <si>
    <t>MODULO C - (COMPREHENSIVE)</t>
  </si>
  <si>
    <t>Lista source B General Information</t>
  </si>
  <si>
    <t>Lista source C General Information</t>
  </si>
  <si>
    <t>Lista source B Envi</t>
  </si>
  <si>
    <t>Lista source C Envi</t>
  </si>
  <si>
    <r>
      <rPr>
        <b/>
        <i/>
        <sz val="14"/>
        <color theme="1"/>
        <rFont val="Calibri"/>
        <family val="2"/>
        <scheme val="minor"/>
      </rPr>
      <t>ENVIRONMENTAL</t>
    </r>
    <r>
      <rPr>
        <sz val="14"/>
        <color theme="1"/>
        <rFont val="Calibri"/>
        <family val="2"/>
        <scheme val="minor"/>
      </rPr>
      <t xml:space="preserve"> </t>
    </r>
  </si>
  <si>
    <t>Lista source B Social</t>
  </si>
  <si>
    <t>Lista source C Social</t>
  </si>
  <si>
    <t>Lista source B Governance</t>
  </si>
  <si>
    <t>Lista Source C Governance</t>
  </si>
  <si>
    <t>SOCIAL</t>
  </si>
  <si>
    <t>MODULO B - (BASIC)</t>
  </si>
  <si>
    <t>GOVERNANCE</t>
  </si>
  <si>
    <t>MODULO</t>
  </si>
  <si>
    <t>BASE - General Information</t>
  </si>
  <si>
    <t>COMPREHENSIVE - General Information</t>
  </si>
  <si>
    <t>BASE - Environment</t>
  </si>
  <si>
    <t>COMPREHENSIVE - Environment</t>
  </si>
  <si>
    <t>BASE - Social</t>
  </si>
  <si>
    <t>COMPREHENSIVE - Social</t>
  </si>
  <si>
    <t>BASE - Governance</t>
  </si>
  <si>
    <t>COMPREHENSIVE - Governace</t>
  </si>
  <si>
    <t>No but planned</t>
  </si>
  <si>
    <t>TOT</t>
  </si>
  <si>
    <t>Transition plan</t>
  </si>
  <si>
    <t>Data point coverage</t>
  </si>
  <si>
    <t>Datapoint/ guidance</t>
  </si>
  <si>
    <t>If the undertaking has a governance body in place, the undertaking shall disclose the related gender diversity ratio.</t>
  </si>
  <si>
    <t>HR Reporting</t>
  </si>
  <si>
    <t xml:space="preserve">Company profile / Bilancio </t>
  </si>
  <si>
    <t>Environmental certifications</t>
  </si>
  <si>
    <r>
      <t xml:space="preserve">Such practices, policies and future initiatives include what the undertaking does to reduce its negative </t>
    </r>
    <r>
      <rPr>
        <b/>
        <i/>
        <sz val="9.9499999999999993"/>
        <color rgb="FF1B1B1B"/>
        <rFont val="Arial"/>
        <family val="2"/>
      </rPr>
      <t xml:space="preserve">impacts </t>
    </r>
    <r>
      <rPr>
        <sz val="9.9499999999999993"/>
        <color rgb="FF1B1B1B"/>
        <rFont val="Arial"/>
        <family val="2"/>
      </rPr>
      <t>and to enhance its positive impacts on people and the environment, in order to  contribute to a more sustainable economy. Appendix B provides a list of possible sustainability  issues that could be covered in this disclosure. The undertaking may use the template found in  paragraph 78 to report this information. </t>
    </r>
  </si>
  <si>
    <t>guidance</t>
  </si>
  <si>
    <t>Company profile / Bilancio / Business model</t>
  </si>
  <si>
    <t>HSE action plan</t>
  </si>
  <si>
    <t>HSE policies</t>
  </si>
  <si>
    <t>Interview HR dept/ Contracts</t>
  </si>
  <si>
    <t>Code of Conduct</t>
  </si>
  <si>
    <t>Whistleblowing</t>
  </si>
  <si>
    <t>HSE Action plan /Policies / Transition plan</t>
  </si>
  <si>
    <t>Sustainability Governance</t>
  </si>
  <si>
    <t>Energy consumption</t>
  </si>
  <si>
    <t>Biodiversity metrics</t>
  </si>
  <si>
    <t>Material purchased</t>
  </si>
  <si>
    <t>GHG emissions - Scope 3</t>
  </si>
  <si>
    <t>GHG emissions - Scope 1 &amp; 2</t>
  </si>
  <si>
    <t>Climate risk assessment</t>
  </si>
  <si>
    <t>%</t>
  </si>
  <si>
    <t>MODULO BASIC</t>
  </si>
  <si>
    <t>MODULO COMPREHENSIVE</t>
  </si>
  <si>
    <t>TOTALE</t>
  </si>
  <si>
    <t>TEMA - General information</t>
  </si>
  <si>
    <t>TEMA - AMBIENTE</t>
  </si>
  <si>
    <t>TEMA - SOCIALE</t>
  </si>
  <si>
    <t>TEMA - GOVERNANCE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</si>
</sst>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b/>
      <sz val="11"/>
      <color theme="1"/>
      <name val="Calibri"/>
      <family val="2"/>
      <scheme val="minor"/>
    </font>
    <font>
      <sz val="9.9499999999999993"/>
      <color rgb="FF1B1B1B"/>
      <name val="Arial"/>
      <family val="2"/>
    </font>
    <font>
      <b/>
      <i/>
      <sz val="9.9499999999999993"/>
      <color rgb="FF1B1B1B"/>
      <name val="Arial"/>
      <family val="2"/>
    </font>
    <font>
      <sz val="9.9499999999999993"/>
      <color rgb="FF000000"/>
      <name val="Arial"/>
      <family val="2"/>
    </font>
    <font>
      <vertAlign val="superscript"/>
      <sz val="6.6"/>
      <color rgb="FF1B1B1B"/>
      <name val="Arial"/>
      <family val="2"/>
    </font>
    <font>
      <sz val="6.45"/>
      <color rgb="FF1B1B1B"/>
      <name val="Arial"/>
      <family val="2"/>
    </font>
    <font>
      <sz val="8"/>
      <name val="Calibri"/>
      <family val="2"/>
      <scheme val="minor"/>
    </font>
    <font>
      <u/>
      <sz val="9.9499999999999993"/>
      <color rgb="FF0000FF"/>
      <name val="Arial"/>
      <family val="2"/>
    </font>
    <font>
      <i/>
      <u/>
      <sz val="9.9499999999999993"/>
      <color rgb="FF0000FF"/>
      <name val="Arial"/>
      <family val="2"/>
    </font>
    <font>
      <i/>
      <sz val="9.9499999999999993"/>
      <color rgb="FF0000FF"/>
      <name val="Arial"/>
      <family val="2"/>
    </font>
    <font>
      <sz val="11"/>
      <color rgb="FF000000"/>
      <name val="Calibri"/>
      <family val="2"/>
      <scheme val="minor"/>
    </font>
    <font>
      <sz val="11"/>
      <color theme="1"/>
      <name val="Arial"/>
      <family val="2"/>
    </font>
    <font>
      <u/>
      <sz val="9.9499999999999993"/>
      <color rgb="FF0070C0"/>
      <name val="Arial"/>
      <family val="2"/>
    </font>
    <font>
      <sz val="9"/>
      <color theme="1"/>
      <name val="Calibri"/>
      <family val="2"/>
      <scheme val="minor"/>
    </font>
    <font>
      <u/>
      <sz val="11"/>
      <color theme="3" tint="0.39997558519241921"/>
      <name val="Calibri"/>
      <family val="2"/>
      <scheme val="minor"/>
    </font>
    <font>
      <sz val="11"/>
      <color theme="1"/>
      <name val="Calibri"/>
      <family val="2"/>
      <scheme val="minor"/>
    </font>
    <font>
      <b/>
      <sz val="12"/>
      <name val="Calibri"/>
      <family val="2"/>
    </font>
    <font>
      <sz val="11"/>
      <color indexed="8"/>
      <name val="Calibri"/>
      <family val="2"/>
    </font>
    <font>
      <sz val="10"/>
      <color theme="1"/>
      <name val="Arial Unicode MS"/>
    </font>
    <font>
      <b/>
      <i/>
      <sz val="14"/>
      <color theme="1"/>
      <name val="Calibri"/>
      <family val="2"/>
      <scheme val="minor"/>
    </font>
    <font>
      <b/>
      <sz val="11"/>
      <color theme="1"/>
      <name val="Calibri"/>
      <family val="2"/>
    </font>
    <font>
      <sz val="14"/>
      <color theme="1"/>
      <name val="Calibri"/>
      <family val="2"/>
      <scheme val="minor"/>
    </font>
    <font>
      <b/>
      <sz val="11"/>
      <color theme="0"/>
      <name val="Calibri"/>
      <family val="2"/>
      <scheme val="minor"/>
    </font>
    <font>
      <sz val="11"/>
      <color rgb="FFFF0000"/>
      <name val="Calibri"/>
      <family val="2"/>
      <scheme val="minor"/>
    </font>
  </fonts>
  <fills count="13">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theme="3" tint="0.79998168889431442"/>
        <bgColor indexed="64"/>
      </patternFill>
    </fill>
    <fill>
      <patternFill patternType="solid">
        <fgColor rgb="FFFFFFCC"/>
      </patternFill>
    </fill>
    <fill>
      <patternFill patternType="solid">
        <fgColor theme="4" tint="0.59999389629810485"/>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rgb="FFFFFF66"/>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rgb="FFFFFF00"/>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medium">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s>
  <cellStyleXfs count="5">
    <xf numFmtId="0" fontId="0" fillId="0" borderId="0"/>
    <xf numFmtId="0" fontId="16" fillId="5" borderId="2" applyNumberFormat="0" applyFont="0" applyAlignment="0" applyProtection="0"/>
    <xf numFmtId="0" fontId="18" fillId="0" borderId="0"/>
    <xf numFmtId="0" fontId="11" fillId="0" borderId="0"/>
    <xf numFmtId="9" fontId="16" fillId="0" borderId="0" applyFont="0" applyFill="0" applyBorder="0" applyAlignment="0" applyProtection="0"/>
  </cellStyleXfs>
  <cellXfs count="96">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3" borderId="1" xfId="0" applyFont="1" applyFill="1" applyBorder="1" applyAlignment="1">
      <alignment horizontal="left" vertical="center" wrapText="1"/>
    </xf>
    <xf numFmtId="0" fontId="0" fillId="3" borderId="1" xfId="0" applyFill="1" applyBorder="1" applyAlignment="1">
      <alignment vertical="center" wrapText="1"/>
    </xf>
    <xf numFmtId="0" fontId="0" fillId="0" borderId="1" xfId="0" applyBorder="1"/>
    <xf numFmtId="0" fontId="0" fillId="0" borderId="1" xfId="0" applyBorder="1" applyAlignment="1">
      <alignment wrapText="1"/>
    </xf>
    <xf numFmtId="0" fontId="0" fillId="0" borderId="0" xfId="0" applyAlignment="1">
      <alignment wrapText="1"/>
    </xf>
    <xf numFmtId="0" fontId="15" fillId="0" borderId="1" xfId="0" applyFont="1" applyBorder="1" applyAlignment="1">
      <alignment wrapText="1"/>
    </xf>
    <xf numFmtId="0" fontId="15" fillId="0" borderId="1" xfId="0" applyFont="1" applyBorder="1"/>
    <xf numFmtId="0" fontId="2" fillId="0" borderId="1" xfId="0" applyFont="1" applyBorder="1" applyAlignment="1">
      <alignment horizontal="left" vertical="center" wrapText="1"/>
    </xf>
    <xf numFmtId="0" fontId="2" fillId="4" borderId="1" xfId="0" applyFont="1" applyFill="1" applyBorder="1" applyAlignment="1">
      <alignment horizontal="left" vertical="center" wrapText="1"/>
    </xf>
    <xf numFmtId="0" fontId="0" fillId="4" borderId="1" xfId="0" applyFill="1" applyBorder="1"/>
    <xf numFmtId="0" fontId="0" fillId="4" borderId="1" xfId="0" applyFill="1" applyBorder="1" applyAlignment="1">
      <alignment vertical="center" wrapText="1"/>
    </xf>
    <xf numFmtId="0" fontId="14" fillId="4" borderId="1" xfId="0" applyFont="1" applyFill="1" applyBorder="1" applyAlignment="1">
      <alignment wrapText="1"/>
    </xf>
    <xf numFmtId="0" fontId="0" fillId="4" borderId="1" xfId="0" applyFill="1" applyBorder="1" applyAlignment="1">
      <alignment wrapText="1"/>
    </xf>
    <xf numFmtId="0" fontId="0" fillId="0" borderId="0" xfId="0" applyAlignment="1">
      <alignment horizontal="left"/>
    </xf>
    <xf numFmtId="0" fontId="0" fillId="0" borderId="0" xfId="0" applyAlignment="1">
      <alignment horizontal="left" wrapText="1"/>
    </xf>
    <xf numFmtId="0" fontId="1" fillId="6" borderId="8" xfId="0" applyFont="1" applyFill="1" applyBorder="1"/>
    <xf numFmtId="0" fontId="0" fillId="0" borderId="9" xfId="0" applyBorder="1"/>
    <xf numFmtId="0" fontId="0" fillId="0" borderId="10" xfId="0" applyBorder="1"/>
    <xf numFmtId="0" fontId="20" fillId="6" borderId="11" xfId="0" applyFont="1" applyFill="1" applyBorder="1" applyAlignment="1">
      <alignment wrapText="1"/>
    </xf>
    <xf numFmtId="0" fontId="1" fillId="0" borderId="4" xfId="0" applyFont="1" applyBorder="1"/>
    <xf numFmtId="0" fontId="0" fillId="0" borderId="12" xfId="0" quotePrefix="1" applyBorder="1"/>
    <xf numFmtId="0" fontId="0" fillId="0" borderId="5" xfId="0" applyBorder="1"/>
    <xf numFmtId="0" fontId="0" fillId="0" borderId="12" xfId="0" applyBorder="1"/>
    <xf numFmtId="0" fontId="0" fillId="0" borderId="7" xfId="0" applyBorder="1"/>
    <xf numFmtId="0" fontId="0" fillId="0" borderId="4" xfId="0" applyBorder="1"/>
    <xf numFmtId="0" fontId="0" fillId="0" borderId="8" xfId="0" applyBorder="1"/>
    <xf numFmtId="0" fontId="0" fillId="0" borderId="13" xfId="0" applyBorder="1"/>
    <xf numFmtId="0" fontId="0" fillId="0" borderId="11" xfId="0" applyBorder="1"/>
    <xf numFmtId="0" fontId="1" fillId="6" borderId="0" xfId="0" applyFont="1" applyFill="1" applyAlignment="1">
      <alignment horizontal="left"/>
    </xf>
    <xf numFmtId="0" fontId="21" fillId="0" borderId="11" xfId="3" applyFont="1" applyBorder="1"/>
    <xf numFmtId="0" fontId="1" fillId="0" borderId="11" xfId="0" applyFont="1" applyBorder="1"/>
    <xf numFmtId="0" fontId="1" fillId="7" borderId="0" xfId="0" applyFont="1" applyFill="1" applyAlignment="1">
      <alignment horizontal="left"/>
    </xf>
    <xf numFmtId="0" fontId="19" fillId="0" borderId="0" xfId="0" applyFont="1" applyAlignment="1">
      <alignment horizontal="left"/>
    </xf>
    <xf numFmtId="0" fontId="0" fillId="0" borderId="6" xfId="0" applyBorder="1" applyAlignment="1">
      <alignment horizontal="left" wrapText="1"/>
    </xf>
    <xf numFmtId="0" fontId="1" fillId="7" borderId="14" xfId="0" applyFont="1" applyFill="1" applyBorder="1" applyAlignment="1">
      <alignment horizontal="left" wrapText="1"/>
    </xf>
    <xf numFmtId="0" fontId="22" fillId="7" borderId="7" xfId="0" applyFont="1" applyFill="1" applyBorder="1" applyAlignment="1">
      <alignment horizontal="left"/>
    </xf>
    <xf numFmtId="0" fontId="0" fillId="0" borderId="8" xfId="0" applyBorder="1" applyAlignment="1">
      <alignment horizontal="left"/>
    </xf>
    <xf numFmtId="0" fontId="0" fillId="0" borderId="12" xfId="0" applyBorder="1" applyAlignment="1">
      <alignment horizontal="left"/>
    </xf>
    <xf numFmtId="0" fontId="0" fillId="0" borderId="7" xfId="0" applyBorder="1" applyAlignment="1">
      <alignment horizontal="left"/>
    </xf>
    <xf numFmtId="0" fontId="0" fillId="0" borderId="3" xfId="0" applyBorder="1" applyAlignment="1">
      <alignment horizontal="left"/>
    </xf>
    <xf numFmtId="0" fontId="1" fillId="0" borderId="7" xfId="0" applyFont="1" applyBorder="1"/>
    <xf numFmtId="0" fontId="0" fillId="0" borderId="13" xfId="0" applyBorder="1" applyAlignment="1">
      <alignment horizontal="left"/>
    </xf>
    <xf numFmtId="0" fontId="0" fillId="0" borderId="11" xfId="0" applyBorder="1" applyAlignment="1">
      <alignment horizontal="left"/>
    </xf>
    <xf numFmtId="0" fontId="0" fillId="0" borderId="14" xfId="0" applyBorder="1" applyAlignment="1">
      <alignment horizontal="left"/>
    </xf>
    <xf numFmtId="0" fontId="0" fillId="0" borderId="3" xfId="0" applyBorder="1" applyAlignment="1">
      <alignment vertical="center" wrapText="1"/>
    </xf>
    <xf numFmtId="0" fontId="1" fillId="8" borderId="0" xfId="0" applyFont="1" applyFill="1" applyAlignment="1">
      <alignment horizontal="left"/>
    </xf>
    <xf numFmtId="0" fontId="0" fillId="9" borderId="0" xfId="0" applyFill="1" applyAlignment="1">
      <alignment horizontal="left"/>
    </xf>
    <xf numFmtId="0" fontId="1" fillId="8" borderId="14" xfId="0" applyFont="1" applyFill="1" applyBorder="1"/>
    <xf numFmtId="0" fontId="20" fillId="8" borderId="7" xfId="0" applyFont="1" applyFill="1" applyBorder="1"/>
    <xf numFmtId="0" fontId="20" fillId="9" borderId="11" xfId="0" applyFont="1" applyFill="1" applyBorder="1" applyAlignment="1">
      <alignment wrapText="1"/>
    </xf>
    <xf numFmtId="0" fontId="1" fillId="9" borderId="8" xfId="0" applyFont="1" applyFill="1" applyBorder="1"/>
    <xf numFmtId="0" fontId="1" fillId="8" borderId="8" xfId="0" applyFont="1" applyFill="1" applyBorder="1"/>
    <xf numFmtId="0" fontId="0" fillId="11" borderId="15" xfId="0" applyFill="1" applyBorder="1"/>
    <xf numFmtId="0" fontId="23" fillId="10" borderId="0" xfId="0" applyFont="1" applyFill="1"/>
    <xf numFmtId="0" fontId="23" fillId="10" borderId="16" xfId="0" applyFont="1" applyFill="1" applyBorder="1"/>
    <xf numFmtId="0" fontId="0" fillId="6" borderId="17" xfId="0" applyFill="1" applyBorder="1"/>
    <xf numFmtId="0" fontId="0" fillId="11" borderId="18" xfId="0" applyFill="1" applyBorder="1"/>
    <xf numFmtId="0" fontId="0" fillId="6" borderId="19" xfId="0" applyFill="1" applyBorder="1"/>
    <xf numFmtId="0" fontId="0" fillId="11" borderId="19" xfId="0" applyFill="1" applyBorder="1"/>
    <xf numFmtId="0" fontId="1" fillId="2" borderId="1" xfId="0" applyFont="1" applyFill="1" applyBorder="1" applyAlignment="1">
      <alignment horizontal="left" wrapText="1"/>
    </xf>
    <xf numFmtId="0" fontId="2" fillId="0" borderId="0" xfId="0" applyFont="1" applyAlignment="1">
      <alignment horizontal="left" wrapText="1"/>
    </xf>
    <xf numFmtId="0" fontId="17" fillId="5" borderId="2" xfId="1" applyFont="1" applyAlignment="1">
      <alignment horizontal="left" wrapText="1"/>
    </xf>
    <xf numFmtId="0" fontId="4" fillId="0" borderId="0" xfId="0" applyFont="1" applyAlignment="1">
      <alignment horizontal="left" wrapText="1"/>
    </xf>
    <xf numFmtId="0" fontId="12" fillId="0" borderId="0" xfId="0" applyFont="1" applyAlignment="1">
      <alignment horizontal="left"/>
    </xf>
    <xf numFmtId="0" fontId="11" fillId="0" borderId="0" xfId="0" applyFont="1" applyAlignment="1">
      <alignment horizontal="left" wrapText="1"/>
    </xf>
    <xf numFmtId="0" fontId="1" fillId="0" borderId="12" xfId="0" applyFont="1" applyBorder="1"/>
    <xf numFmtId="0" fontId="0" fillId="0" borderId="8" xfId="0" quotePrefix="1" applyBorder="1"/>
    <xf numFmtId="0" fontId="0" fillId="0" borderId="13" xfId="0" quotePrefix="1" applyBorder="1"/>
    <xf numFmtId="0" fontId="1" fillId="0" borderId="13" xfId="0" applyFont="1" applyBorder="1"/>
    <xf numFmtId="0" fontId="2" fillId="0" borderId="0" xfId="0" applyFont="1" applyAlignment="1">
      <alignment horizontal="left" vertical="top" wrapText="1"/>
    </xf>
    <xf numFmtId="0" fontId="0" fillId="0" borderId="5" xfId="0" applyBorder="1" applyAlignment="1">
      <alignment wrapText="1"/>
    </xf>
    <xf numFmtId="0" fontId="1" fillId="0" borderId="1" xfId="0" applyFont="1" applyBorder="1"/>
    <xf numFmtId="0" fontId="0" fillId="12" borderId="0" xfId="0" applyFill="1" applyAlignment="1">
      <alignment horizontal="left" wrapText="1"/>
    </xf>
    <xf numFmtId="0" fontId="24" fillId="0" borderId="5" xfId="0" applyFont="1" applyBorder="1"/>
    <xf numFmtId="0" fontId="0" fillId="0" borderId="8" xfId="0" applyBorder="1" applyAlignment="1">
      <alignment horizontal="left" wrapText="1"/>
    </xf>
    <xf numFmtId="0" fontId="1" fillId="0" borderId="11" xfId="0" applyFont="1" applyBorder="1" applyAlignment="1">
      <alignment wrapText="1"/>
    </xf>
    <xf numFmtId="0" fontId="0" fillId="0" borderId="5" xfId="0" applyBorder="1" applyAlignment="1">
      <alignment horizontal="left" wrapText="1"/>
    </xf>
    <xf numFmtId="0" fontId="0" fillId="0" borderId="13" xfId="0" applyBorder="1" applyAlignment="1">
      <alignment horizontal="left" wrapText="1"/>
    </xf>
    <xf numFmtId="0" fontId="0" fillId="0" borderId="11" xfId="0" applyBorder="1" applyAlignment="1">
      <alignment horizontal="left" wrapText="1"/>
    </xf>
    <xf numFmtId="0" fontId="0" fillId="0" borderId="10" xfId="0" applyBorder="1" applyAlignment="1">
      <alignment wrapText="1"/>
    </xf>
    <xf numFmtId="0" fontId="1" fillId="0" borderId="4" xfId="0" applyFont="1" applyBorder="1" applyAlignment="1">
      <alignment wrapText="1"/>
    </xf>
    <xf numFmtId="0" fontId="0" fillId="0" borderId="4" xfId="0" applyBorder="1" applyAlignment="1">
      <alignment wrapText="1"/>
    </xf>
    <xf numFmtId="0" fontId="0" fillId="6" borderId="0" xfId="0" applyFill="1"/>
    <xf numFmtId="9" fontId="0" fillId="0" borderId="0" xfId="4" applyFont="1"/>
    <xf numFmtId="0" fontId="1" fillId="6" borderId="14" xfId="0" applyFont="1" applyFill="1" applyBorder="1"/>
    <xf numFmtId="0" fontId="1" fillId="11" borderId="9" xfId="0" applyFont="1" applyFill="1" applyBorder="1"/>
    <xf numFmtId="0" fontId="1" fillId="11" borderId="10" xfId="0" applyFont="1" applyFill="1" applyBorder="1"/>
    <xf numFmtId="0" fontId="1" fillId="6" borderId="7" xfId="0" applyFont="1" applyFill="1" applyBorder="1"/>
    <xf numFmtId="9" fontId="1" fillId="11" borderId="3" xfId="4" applyFont="1" applyFill="1" applyBorder="1"/>
    <xf numFmtId="9" fontId="1" fillId="11" borderId="4" xfId="4" applyFont="1" applyFill="1" applyBorder="1"/>
    <xf numFmtId="0" fontId="0" fillId="0" borderId="0" xfId="0" applyAlignment="1">
      <alignment horizontal="center" wrapText="1"/>
    </xf>
  </cellXfs>
  <cellStyles count="5">
    <cellStyle name="Normale" xfId="0" builtinId="0"/>
    <cellStyle name="Normale 2" xfId="2" xr:uid="{32664E46-9638-4AA0-815F-93CF1BF9E3C7}"/>
    <cellStyle name="Normale 7" xfId="3" xr:uid="{0A65D90A-7659-48F6-971F-4A681BC92529}"/>
    <cellStyle name="Nota" xfId="1" builtinId="10"/>
    <cellStyle name="Percentuale" xfId="4" builtinId="5"/>
  </cellStyles>
  <dxfs count="0"/>
  <tableStyles count="0" defaultTableStyle="TableStyleMedium9"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VSME ANALYSIS - ABSOLUTE</a:t>
            </a:r>
          </a:p>
          <a:p>
            <a:pPr>
              <a:defRPr/>
            </a:pP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stacked"/>
        <c:varyColors val="0"/>
        <c:ser>
          <c:idx val="0"/>
          <c:order val="0"/>
          <c:tx>
            <c:strRef>
              <c:f>DASHBOARD!$C$2</c:f>
              <c:strCache>
                <c:ptCount val="1"/>
                <c:pt idx="0">
                  <c:v>Yes</c:v>
                </c:pt>
              </c:strCache>
            </c:strRef>
          </c:tx>
          <c:spPr>
            <a:solidFill>
              <a:schemeClr val="accent3"/>
            </a:solidFill>
            <a:ln>
              <a:noFill/>
            </a:ln>
            <a:effectLst/>
          </c:spPr>
          <c:invertIfNegative val="0"/>
          <c:cat>
            <c:strRef>
              <c:f>DASHBOARD!$B$3:$B$10</c:f>
              <c:strCache>
                <c:ptCount val="8"/>
                <c:pt idx="0">
                  <c:v>BASE - General Information</c:v>
                </c:pt>
                <c:pt idx="1">
                  <c:v>COMPREHENSIVE - General Information</c:v>
                </c:pt>
                <c:pt idx="2">
                  <c:v>BASE - Environment</c:v>
                </c:pt>
                <c:pt idx="3">
                  <c:v>COMPREHENSIVE - Environment</c:v>
                </c:pt>
                <c:pt idx="4">
                  <c:v>BASE - Social</c:v>
                </c:pt>
                <c:pt idx="5">
                  <c:v>COMPREHENSIVE - Social</c:v>
                </c:pt>
                <c:pt idx="6">
                  <c:v>BASE - Governance</c:v>
                </c:pt>
                <c:pt idx="7">
                  <c:v>COMPREHENSIVE - Governace</c:v>
                </c:pt>
              </c:strCache>
            </c:strRef>
          </c:cat>
          <c:val>
            <c:numRef>
              <c:f>DASHBOARD!$C$3:$C$10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DD33-4208-A535-C875EB2B2A0C}"/>
            </c:ext>
          </c:extLst>
        </c:ser>
        <c:ser>
          <c:idx val="1"/>
          <c:order val="1"/>
          <c:tx>
            <c:strRef>
              <c:f>DASHBOARD!$D$2</c:f>
              <c:strCache>
                <c:ptCount val="1"/>
                <c:pt idx="0">
                  <c:v>Yes, but integration needed</c:v>
                </c:pt>
              </c:strCache>
            </c:strRef>
          </c:tx>
          <c:spPr>
            <a:solidFill>
              <a:schemeClr val="tx2"/>
            </a:solidFill>
            <a:ln>
              <a:noFill/>
            </a:ln>
            <a:effectLst/>
          </c:spPr>
          <c:invertIfNegative val="0"/>
          <c:cat>
            <c:strRef>
              <c:f>DASHBOARD!$B$3:$B$10</c:f>
              <c:strCache>
                <c:ptCount val="8"/>
                <c:pt idx="0">
                  <c:v>BASE - General Information</c:v>
                </c:pt>
                <c:pt idx="1">
                  <c:v>COMPREHENSIVE - General Information</c:v>
                </c:pt>
                <c:pt idx="2">
                  <c:v>BASE - Environment</c:v>
                </c:pt>
                <c:pt idx="3">
                  <c:v>COMPREHENSIVE - Environment</c:v>
                </c:pt>
                <c:pt idx="4">
                  <c:v>BASE - Social</c:v>
                </c:pt>
                <c:pt idx="5">
                  <c:v>COMPREHENSIVE - Social</c:v>
                </c:pt>
                <c:pt idx="6">
                  <c:v>BASE - Governance</c:v>
                </c:pt>
                <c:pt idx="7">
                  <c:v>COMPREHENSIVE - Governace</c:v>
                </c:pt>
              </c:strCache>
            </c:strRef>
          </c:cat>
          <c:val>
            <c:numRef>
              <c:f>DASHBOARD!$D$3:$D$10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DD33-4208-A535-C875EB2B2A0C}"/>
            </c:ext>
          </c:extLst>
        </c:ser>
        <c:ser>
          <c:idx val="2"/>
          <c:order val="2"/>
          <c:tx>
            <c:strRef>
              <c:f>DASHBOARD!$E$2</c:f>
              <c:strCache>
                <c:ptCount val="1"/>
                <c:pt idx="0">
                  <c:v>No</c:v>
                </c:pt>
              </c:strCache>
            </c:strRef>
          </c:tx>
          <c:spPr>
            <a:solidFill>
              <a:srgbClr val="C00000"/>
            </a:solidFill>
            <a:ln>
              <a:noFill/>
            </a:ln>
            <a:effectLst/>
          </c:spPr>
          <c:invertIfNegative val="0"/>
          <c:cat>
            <c:strRef>
              <c:f>DASHBOARD!$B$3:$B$10</c:f>
              <c:strCache>
                <c:ptCount val="8"/>
                <c:pt idx="0">
                  <c:v>BASE - General Information</c:v>
                </c:pt>
                <c:pt idx="1">
                  <c:v>COMPREHENSIVE - General Information</c:v>
                </c:pt>
                <c:pt idx="2">
                  <c:v>BASE - Environment</c:v>
                </c:pt>
                <c:pt idx="3">
                  <c:v>COMPREHENSIVE - Environment</c:v>
                </c:pt>
                <c:pt idx="4">
                  <c:v>BASE - Social</c:v>
                </c:pt>
                <c:pt idx="5">
                  <c:v>COMPREHENSIVE - Social</c:v>
                </c:pt>
                <c:pt idx="6">
                  <c:v>BASE - Governance</c:v>
                </c:pt>
                <c:pt idx="7">
                  <c:v>COMPREHENSIVE - Governace</c:v>
                </c:pt>
              </c:strCache>
            </c:strRef>
          </c:cat>
          <c:val>
            <c:numRef>
              <c:f>DASHBOARD!$E$3:$E$10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DD33-4208-A535-C875EB2B2A0C}"/>
            </c:ext>
          </c:extLst>
        </c:ser>
        <c:ser>
          <c:idx val="3"/>
          <c:order val="3"/>
          <c:tx>
            <c:strRef>
              <c:f>DASHBOARD!$F$2</c:f>
              <c:strCache>
                <c:ptCount val="1"/>
                <c:pt idx="0">
                  <c:v>No but planned</c:v>
                </c:pt>
              </c:strCache>
            </c:strRef>
          </c:tx>
          <c:spPr>
            <a:solidFill>
              <a:srgbClr val="FFC000"/>
            </a:solidFill>
            <a:ln>
              <a:noFill/>
            </a:ln>
            <a:effectLst/>
          </c:spPr>
          <c:invertIfNegative val="0"/>
          <c:cat>
            <c:strRef>
              <c:f>DASHBOARD!$B$3:$B$10</c:f>
              <c:strCache>
                <c:ptCount val="8"/>
                <c:pt idx="0">
                  <c:v>BASE - General Information</c:v>
                </c:pt>
                <c:pt idx="1">
                  <c:v>COMPREHENSIVE - General Information</c:v>
                </c:pt>
                <c:pt idx="2">
                  <c:v>BASE - Environment</c:v>
                </c:pt>
                <c:pt idx="3">
                  <c:v>COMPREHENSIVE - Environment</c:v>
                </c:pt>
                <c:pt idx="4">
                  <c:v>BASE - Social</c:v>
                </c:pt>
                <c:pt idx="5">
                  <c:v>COMPREHENSIVE - Social</c:v>
                </c:pt>
                <c:pt idx="6">
                  <c:v>BASE - Governance</c:v>
                </c:pt>
                <c:pt idx="7">
                  <c:v>COMPREHENSIVE - Governace</c:v>
                </c:pt>
              </c:strCache>
            </c:strRef>
          </c:cat>
          <c:val>
            <c:numRef>
              <c:f>DASHBOARD!$F$3:$F$10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3-DD33-4208-A535-C875EB2B2A0C}"/>
            </c:ext>
          </c:extLst>
        </c:ser>
        <c:dLbls>
          <c:showLegendKey val="0"/>
          <c:showVal val="0"/>
          <c:showCatName val="0"/>
          <c:showSerName val="0"/>
          <c:showPercent val="0"/>
          <c:showBubbleSize val="0"/>
        </c:dLbls>
        <c:gapWidth val="150"/>
        <c:overlap val="100"/>
        <c:axId val="1489514368"/>
        <c:axId val="1737850784"/>
      </c:barChart>
      <c:catAx>
        <c:axId val="148951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737850784"/>
        <c:crosses val="autoZero"/>
        <c:auto val="1"/>
        <c:lblAlgn val="ctr"/>
        <c:lblOffset val="100"/>
        <c:noMultiLvlLbl val="0"/>
      </c:catAx>
      <c:valAx>
        <c:axId val="173785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489514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VSME ANALYSIS - RELATIVE</a:t>
            </a:r>
          </a:p>
          <a:p>
            <a:pPr>
              <a:defRPr/>
            </a:pP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percentStacked"/>
        <c:varyColors val="0"/>
        <c:ser>
          <c:idx val="0"/>
          <c:order val="0"/>
          <c:tx>
            <c:strRef>
              <c:f>DASHBOARD!$C$2</c:f>
              <c:strCache>
                <c:ptCount val="1"/>
                <c:pt idx="0">
                  <c:v>Yes</c:v>
                </c:pt>
              </c:strCache>
            </c:strRef>
          </c:tx>
          <c:spPr>
            <a:solidFill>
              <a:schemeClr val="accent3"/>
            </a:solidFill>
            <a:ln>
              <a:noFill/>
            </a:ln>
            <a:effectLst/>
          </c:spPr>
          <c:invertIfNegative val="0"/>
          <c:cat>
            <c:strRef>
              <c:f>DASHBOARD!$B$3:$B$10</c:f>
              <c:strCache>
                <c:ptCount val="8"/>
                <c:pt idx="0">
                  <c:v>BASE - General Information</c:v>
                </c:pt>
                <c:pt idx="1">
                  <c:v>COMPREHENSIVE - General Information</c:v>
                </c:pt>
                <c:pt idx="2">
                  <c:v>BASE - Environment</c:v>
                </c:pt>
                <c:pt idx="3">
                  <c:v>COMPREHENSIVE - Environment</c:v>
                </c:pt>
                <c:pt idx="4">
                  <c:v>BASE - Social</c:v>
                </c:pt>
                <c:pt idx="5">
                  <c:v>COMPREHENSIVE - Social</c:v>
                </c:pt>
                <c:pt idx="6">
                  <c:v>BASE - Governance</c:v>
                </c:pt>
                <c:pt idx="7">
                  <c:v>COMPREHENSIVE - Governace</c:v>
                </c:pt>
              </c:strCache>
            </c:strRef>
          </c:cat>
          <c:val>
            <c:numRef>
              <c:f>DASHBOARD!$C$3:$C$10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0EA0-4B0A-B66A-0973B1FC7756}"/>
            </c:ext>
          </c:extLst>
        </c:ser>
        <c:ser>
          <c:idx val="1"/>
          <c:order val="1"/>
          <c:tx>
            <c:strRef>
              <c:f>DASHBOARD!$D$2</c:f>
              <c:strCache>
                <c:ptCount val="1"/>
                <c:pt idx="0">
                  <c:v>Yes, but integration needed</c:v>
                </c:pt>
              </c:strCache>
            </c:strRef>
          </c:tx>
          <c:spPr>
            <a:solidFill>
              <a:schemeClr val="tx2"/>
            </a:solidFill>
            <a:ln>
              <a:noFill/>
            </a:ln>
            <a:effectLst/>
          </c:spPr>
          <c:invertIfNegative val="0"/>
          <c:cat>
            <c:strRef>
              <c:f>DASHBOARD!$B$3:$B$10</c:f>
              <c:strCache>
                <c:ptCount val="8"/>
                <c:pt idx="0">
                  <c:v>BASE - General Information</c:v>
                </c:pt>
                <c:pt idx="1">
                  <c:v>COMPREHENSIVE - General Information</c:v>
                </c:pt>
                <c:pt idx="2">
                  <c:v>BASE - Environment</c:v>
                </c:pt>
                <c:pt idx="3">
                  <c:v>COMPREHENSIVE - Environment</c:v>
                </c:pt>
                <c:pt idx="4">
                  <c:v>BASE - Social</c:v>
                </c:pt>
                <c:pt idx="5">
                  <c:v>COMPREHENSIVE - Social</c:v>
                </c:pt>
                <c:pt idx="6">
                  <c:v>BASE - Governance</c:v>
                </c:pt>
                <c:pt idx="7">
                  <c:v>COMPREHENSIVE - Governace</c:v>
                </c:pt>
              </c:strCache>
            </c:strRef>
          </c:cat>
          <c:val>
            <c:numRef>
              <c:f>DASHBOARD!$D$3:$D$10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0EA0-4B0A-B66A-0973B1FC7756}"/>
            </c:ext>
          </c:extLst>
        </c:ser>
        <c:ser>
          <c:idx val="2"/>
          <c:order val="2"/>
          <c:tx>
            <c:strRef>
              <c:f>DASHBOARD!$E$2</c:f>
              <c:strCache>
                <c:ptCount val="1"/>
                <c:pt idx="0">
                  <c:v>No</c:v>
                </c:pt>
              </c:strCache>
            </c:strRef>
          </c:tx>
          <c:spPr>
            <a:solidFill>
              <a:srgbClr val="C00000"/>
            </a:solidFill>
            <a:ln>
              <a:noFill/>
            </a:ln>
            <a:effectLst/>
          </c:spPr>
          <c:invertIfNegative val="0"/>
          <c:cat>
            <c:strRef>
              <c:f>DASHBOARD!$B$3:$B$10</c:f>
              <c:strCache>
                <c:ptCount val="8"/>
                <c:pt idx="0">
                  <c:v>BASE - General Information</c:v>
                </c:pt>
                <c:pt idx="1">
                  <c:v>COMPREHENSIVE - General Information</c:v>
                </c:pt>
                <c:pt idx="2">
                  <c:v>BASE - Environment</c:v>
                </c:pt>
                <c:pt idx="3">
                  <c:v>COMPREHENSIVE - Environment</c:v>
                </c:pt>
                <c:pt idx="4">
                  <c:v>BASE - Social</c:v>
                </c:pt>
                <c:pt idx="5">
                  <c:v>COMPREHENSIVE - Social</c:v>
                </c:pt>
                <c:pt idx="6">
                  <c:v>BASE - Governance</c:v>
                </c:pt>
                <c:pt idx="7">
                  <c:v>COMPREHENSIVE - Governace</c:v>
                </c:pt>
              </c:strCache>
            </c:strRef>
          </c:cat>
          <c:val>
            <c:numRef>
              <c:f>DASHBOARD!$E$3:$E$10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0EA0-4B0A-B66A-0973B1FC7756}"/>
            </c:ext>
          </c:extLst>
        </c:ser>
        <c:ser>
          <c:idx val="3"/>
          <c:order val="3"/>
          <c:tx>
            <c:strRef>
              <c:f>DASHBOARD!$F$2</c:f>
              <c:strCache>
                <c:ptCount val="1"/>
                <c:pt idx="0">
                  <c:v>No but planned</c:v>
                </c:pt>
              </c:strCache>
            </c:strRef>
          </c:tx>
          <c:spPr>
            <a:solidFill>
              <a:srgbClr val="FFC000"/>
            </a:solidFill>
            <a:ln>
              <a:noFill/>
            </a:ln>
            <a:effectLst/>
          </c:spPr>
          <c:invertIfNegative val="0"/>
          <c:cat>
            <c:strRef>
              <c:f>DASHBOARD!$B$3:$B$10</c:f>
              <c:strCache>
                <c:ptCount val="8"/>
                <c:pt idx="0">
                  <c:v>BASE - General Information</c:v>
                </c:pt>
                <c:pt idx="1">
                  <c:v>COMPREHENSIVE - General Information</c:v>
                </c:pt>
                <c:pt idx="2">
                  <c:v>BASE - Environment</c:v>
                </c:pt>
                <c:pt idx="3">
                  <c:v>COMPREHENSIVE - Environment</c:v>
                </c:pt>
                <c:pt idx="4">
                  <c:v>BASE - Social</c:v>
                </c:pt>
                <c:pt idx="5">
                  <c:v>COMPREHENSIVE - Social</c:v>
                </c:pt>
                <c:pt idx="6">
                  <c:v>BASE - Governance</c:v>
                </c:pt>
                <c:pt idx="7">
                  <c:v>COMPREHENSIVE - Governace</c:v>
                </c:pt>
              </c:strCache>
            </c:strRef>
          </c:cat>
          <c:val>
            <c:numRef>
              <c:f>DASHBOARD!$F$3:$F$10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3-0EA0-4B0A-B66A-0973B1FC7756}"/>
            </c:ext>
          </c:extLst>
        </c:ser>
        <c:dLbls>
          <c:showLegendKey val="0"/>
          <c:showVal val="0"/>
          <c:showCatName val="0"/>
          <c:showSerName val="0"/>
          <c:showPercent val="0"/>
          <c:showBubbleSize val="0"/>
        </c:dLbls>
        <c:gapWidth val="150"/>
        <c:overlap val="100"/>
        <c:axId val="1489514368"/>
        <c:axId val="1737850784"/>
      </c:barChart>
      <c:catAx>
        <c:axId val="148951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737850784"/>
        <c:crosses val="autoZero"/>
        <c:auto val="1"/>
        <c:lblAlgn val="ctr"/>
        <c:lblOffset val="100"/>
        <c:noMultiLvlLbl val="0"/>
      </c:catAx>
      <c:valAx>
        <c:axId val="1737850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489514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GAP</a:t>
            </a:r>
            <a:r>
              <a:rPr lang="it-IT" baseline="0"/>
              <a:t> ANALYSIS</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doughnutChart>
        <c:varyColors val="1"/>
        <c:ser>
          <c:idx val="0"/>
          <c:order val="0"/>
          <c:dPt>
            <c:idx val="0"/>
            <c:bubble3D val="0"/>
            <c:spPr>
              <a:solidFill>
                <a:schemeClr val="accent3"/>
              </a:solidFill>
              <a:ln w="19050">
                <a:solidFill>
                  <a:schemeClr val="lt1"/>
                </a:solidFill>
              </a:ln>
              <a:effectLst/>
            </c:spPr>
            <c:extLst>
              <c:ext xmlns:c16="http://schemas.microsoft.com/office/drawing/2014/chart" uri="{C3380CC4-5D6E-409C-BE32-E72D297353CC}">
                <c16:uniqueId val="{00000001-F99E-49AF-9F65-ED62B4EC59A4}"/>
              </c:ext>
            </c:extLst>
          </c:dPt>
          <c:dPt>
            <c:idx val="1"/>
            <c:bubble3D val="0"/>
            <c:spPr>
              <a:solidFill>
                <a:schemeClr val="tx2"/>
              </a:solidFill>
              <a:ln w="19050">
                <a:solidFill>
                  <a:schemeClr val="lt1"/>
                </a:solidFill>
              </a:ln>
              <a:effectLst/>
            </c:spPr>
            <c:extLst>
              <c:ext xmlns:c16="http://schemas.microsoft.com/office/drawing/2014/chart" uri="{C3380CC4-5D6E-409C-BE32-E72D297353CC}">
                <c16:uniqueId val="{00000002-F99E-49AF-9F65-ED62B4EC59A4}"/>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3-F99E-49AF-9F65-ED62B4EC59A4}"/>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4-F99E-49AF-9F65-ED62B4EC59A4}"/>
              </c:ext>
            </c:extLst>
          </c:dPt>
          <c:cat>
            <c:strRef>
              <c:f>DASHBOARD!$C$2:$F$2</c:f>
              <c:strCache>
                <c:ptCount val="4"/>
                <c:pt idx="0">
                  <c:v>Yes</c:v>
                </c:pt>
                <c:pt idx="1">
                  <c:v>Yes, but integration needed</c:v>
                </c:pt>
                <c:pt idx="2">
                  <c:v>No</c:v>
                </c:pt>
                <c:pt idx="3">
                  <c:v>No but planned</c:v>
                </c:pt>
              </c:strCache>
            </c:strRef>
          </c:cat>
          <c:val>
            <c:numRef>
              <c:f>DASHBOARD!$C$11:$F$11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F99E-49AF-9F65-ED62B4EC59A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b="1"/>
              <a:t>RIEPILOGO</a:t>
            </a:r>
            <a:r>
              <a:rPr lang="it-IT" b="1" baseline="0"/>
              <a:t> MODULO BASIC</a:t>
            </a:r>
            <a:endParaRPr lang="it-IT"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percentStacked"/>
        <c:varyColors val="0"/>
        <c:ser>
          <c:idx val="0"/>
          <c:order val="0"/>
          <c:tx>
            <c:strRef>
              <c:f>DASHBOARD!$C$15</c:f>
              <c:strCache>
                <c:ptCount val="1"/>
                <c:pt idx="0">
                  <c:v>Yes</c:v>
                </c:pt>
              </c:strCache>
            </c:strRef>
          </c:tx>
          <c:spPr>
            <a:solidFill>
              <a:srgbClr val="92D050"/>
            </a:solidFill>
            <a:ln>
              <a:noFill/>
            </a:ln>
            <a:effectLst/>
          </c:spPr>
          <c:invertIfNegative val="0"/>
          <c:cat>
            <c:strRef>
              <c:f>DASHBOARD!$B$16:$B$19</c:f>
              <c:strCache>
                <c:ptCount val="4"/>
                <c:pt idx="0">
                  <c:v>BASE - General Information</c:v>
                </c:pt>
                <c:pt idx="1">
                  <c:v>BASE - Environment</c:v>
                </c:pt>
                <c:pt idx="2">
                  <c:v>BASE - Social</c:v>
                </c:pt>
                <c:pt idx="3">
                  <c:v>BASE - Governance</c:v>
                </c:pt>
              </c:strCache>
            </c:strRef>
          </c:cat>
          <c:val>
            <c:numRef>
              <c:f>DASHBOARD!$C$16:$C$19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40BB-4E58-8400-B5E43FCE9343}"/>
            </c:ext>
          </c:extLst>
        </c:ser>
        <c:ser>
          <c:idx val="1"/>
          <c:order val="1"/>
          <c:tx>
            <c:strRef>
              <c:f>DASHBOARD!$D$15</c:f>
              <c:strCache>
                <c:ptCount val="1"/>
                <c:pt idx="0">
                  <c:v>Yes, but integration needed</c:v>
                </c:pt>
              </c:strCache>
            </c:strRef>
          </c:tx>
          <c:spPr>
            <a:solidFill>
              <a:schemeClr val="accent1"/>
            </a:solidFill>
            <a:ln>
              <a:noFill/>
            </a:ln>
            <a:effectLst/>
          </c:spPr>
          <c:invertIfNegative val="0"/>
          <c:cat>
            <c:strRef>
              <c:f>DASHBOARD!$B$16:$B$19</c:f>
              <c:strCache>
                <c:ptCount val="4"/>
                <c:pt idx="0">
                  <c:v>BASE - General Information</c:v>
                </c:pt>
                <c:pt idx="1">
                  <c:v>BASE - Environment</c:v>
                </c:pt>
                <c:pt idx="2">
                  <c:v>BASE - Social</c:v>
                </c:pt>
                <c:pt idx="3">
                  <c:v>BASE - Governance</c:v>
                </c:pt>
              </c:strCache>
            </c:strRef>
          </c:cat>
          <c:val>
            <c:numRef>
              <c:f>DASHBOARD!$D$16:$D$19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40BB-4E58-8400-B5E43FCE9343}"/>
            </c:ext>
          </c:extLst>
        </c:ser>
        <c:ser>
          <c:idx val="2"/>
          <c:order val="2"/>
          <c:tx>
            <c:strRef>
              <c:f>DASHBOARD!$E$15</c:f>
              <c:strCache>
                <c:ptCount val="1"/>
                <c:pt idx="0">
                  <c:v>No</c:v>
                </c:pt>
              </c:strCache>
            </c:strRef>
          </c:tx>
          <c:spPr>
            <a:solidFill>
              <a:srgbClr val="C00000"/>
            </a:solidFill>
            <a:ln>
              <a:noFill/>
            </a:ln>
            <a:effectLst/>
          </c:spPr>
          <c:invertIfNegative val="0"/>
          <c:cat>
            <c:strRef>
              <c:f>DASHBOARD!$B$16:$B$19</c:f>
              <c:strCache>
                <c:ptCount val="4"/>
                <c:pt idx="0">
                  <c:v>BASE - General Information</c:v>
                </c:pt>
                <c:pt idx="1">
                  <c:v>BASE - Environment</c:v>
                </c:pt>
                <c:pt idx="2">
                  <c:v>BASE - Social</c:v>
                </c:pt>
                <c:pt idx="3">
                  <c:v>BASE - Governance</c:v>
                </c:pt>
              </c:strCache>
            </c:strRef>
          </c:cat>
          <c:val>
            <c:numRef>
              <c:f>DASHBOARD!$E$16:$E$19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2-40BB-4E58-8400-B5E43FCE9343}"/>
            </c:ext>
          </c:extLst>
        </c:ser>
        <c:ser>
          <c:idx val="3"/>
          <c:order val="3"/>
          <c:tx>
            <c:strRef>
              <c:f>DASHBOARD!$F$15</c:f>
              <c:strCache>
                <c:ptCount val="1"/>
                <c:pt idx="0">
                  <c:v>No but planned</c:v>
                </c:pt>
              </c:strCache>
            </c:strRef>
          </c:tx>
          <c:spPr>
            <a:solidFill>
              <a:srgbClr val="FFC000"/>
            </a:solidFill>
            <a:ln>
              <a:noFill/>
            </a:ln>
            <a:effectLst/>
          </c:spPr>
          <c:invertIfNegative val="0"/>
          <c:cat>
            <c:strRef>
              <c:f>DASHBOARD!$B$16:$B$19</c:f>
              <c:strCache>
                <c:ptCount val="4"/>
                <c:pt idx="0">
                  <c:v>BASE - General Information</c:v>
                </c:pt>
                <c:pt idx="1">
                  <c:v>BASE - Environment</c:v>
                </c:pt>
                <c:pt idx="2">
                  <c:v>BASE - Social</c:v>
                </c:pt>
                <c:pt idx="3">
                  <c:v>BASE - Governance</c:v>
                </c:pt>
              </c:strCache>
            </c:strRef>
          </c:cat>
          <c:val>
            <c:numRef>
              <c:f>DASHBOARD!$F$16:$F$19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40BB-4E58-8400-B5E43FCE9343}"/>
            </c:ext>
          </c:extLst>
        </c:ser>
        <c:dLbls>
          <c:showLegendKey val="0"/>
          <c:showVal val="0"/>
          <c:showCatName val="0"/>
          <c:showSerName val="0"/>
          <c:showPercent val="0"/>
          <c:showBubbleSize val="0"/>
        </c:dLbls>
        <c:gapWidth val="150"/>
        <c:overlap val="100"/>
        <c:axId val="1660994175"/>
        <c:axId val="1660994655"/>
      </c:barChart>
      <c:catAx>
        <c:axId val="166099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660994655"/>
        <c:crosses val="autoZero"/>
        <c:auto val="1"/>
        <c:lblAlgn val="ctr"/>
        <c:lblOffset val="100"/>
        <c:noMultiLvlLbl val="0"/>
      </c:catAx>
      <c:valAx>
        <c:axId val="16609946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660994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b="1"/>
              <a:t>RIEPILOGO</a:t>
            </a:r>
            <a:r>
              <a:rPr lang="it-IT" b="1" baseline="0"/>
              <a:t> MODULO COMPREHENSIVE</a:t>
            </a:r>
            <a:endParaRPr lang="it-IT"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percentStacked"/>
        <c:varyColors val="0"/>
        <c:ser>
          <c:idx val="0"/>
          <c:order val="0"/>
          <c:tx>
            <c:strRef>
              <c:f>DASHBOARD!$C$25</c:f>
              <c:strCache>
                <c:ptCount val="1"/>
                <c:pt idx="0">
                  <c:v>Yes</c:v>
                </c:pt>
              </c:strCache>
            </c:strRef>
          </c:tx>
          <c:spPr>
            <a:solidFill>
              <a:srgbClr val="92D050"/>
            </a:solidFill>
            <a:ln>
              <a:noFill/>
            </a:ln>
            <a:effectLst/>
          </c:spPr>
          <c:invertIfNegative val="0"/>
          <c:cat>
            <c:strRef>
              <c:f>DASHBOARD!$B$26:$B$29</c:f>
              <c:strCache>
                <c:ptCount val="4"/>
                <c:pt idx="0">
                  <c:v>COMPREHENSIVE - General Information</c:v>
                </c:pt>
                <c:pt idx="1">
                  <c:v>COMPREHENSIVE - Environment</c:v>
                </c:pt>
                <c:pt idx="2">
                  <c:v>COMPREHENSIVE - Social</c:v>
                </c:pt>
                <c:pt idx="3">
                  <c:v>COMPREHENSIVE - Governace</c:v>
                </c:pt>
              </c:strCache>
            </c:strRef>
          </c:cat>
          <c:val>
            <c:numRef>
              <c:f>DASHBOARD!$C$26:$C$29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2748-47A6-92B0-BC5399EEA01D}"/>
            </c:ext>
          </c:extLst>
        </c:ser>
        <c:ser>
          <c:idx val="1"/>
          <c:order val="1"/>
          <c:tx>
            <c:strRef>
              <c:f>DASHBOARD!$D$25</c:f>
              <c:strCache>
                <c:ptCount val="1"/>
                <c:pt idx="0">
                  <c:v>Yes, but integration needed</c:v>
                </c:pt>
              </c:strCache>
            </c:strRef>
          </c:tx>
          <c:spPr>
            <a:solidFill>
              <a:schemeClr val="accent1"/>
            </a:solidFill>
            <a:ln>
              <a:noFill/>
            </a:ln>
            <a:effectLst/>
          </c:spPr>
          <c:invertIfNegative val="0"/>
          <c:cat>
            <c:strRef>
              <c:f>DASHBOARD!$B$26:$B$29</c:f>
              <c:strCache>
                <c:ptCount val="4"/>
                <c:pt idx="0">
                  <c:v>COMPREHENSIVE - General Information</c:v>
                </c:pt>
                <c:pt idx="1">
                  <c:v>COMPREHENSIVE - Environment</c:v>
                </c:pt>
                <c:pt idx="2">
                  <c:v>COMPREHENSIVE - Social</c:v>
                </c:pt>
                <c:pt idx="3">
                  <c:v>COMPREHENSIVE - Governace</c:v>
                </c:pt>
              </c:strCache>
            </c:strRef>
          </c:cat>
          <c:val>
            <c:numRef>
              <c:f>DASHBOARD!$D$26:$D$29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2748-47A6-92B0-BC5399EEA01D}"/>
            </c:ext>
          </c:extLst>
        </c:ser>
        <c:ser>
          <c:idx val="2"/>
          <c:order val="2"/>
          <c:tx>
            <c:strRef>
              <c:f>DASHBOARD!$E$25</c:f>
              <c:strCache>
                <c:ptCount val="1"/>
                <c:pt idx="0">
                  <c:v>No</c:v>
                </c:pt>
              </c:strCache>
            </c:strRef>
          </c:tx>
          <c:spPr>
            <a:solidFill>
              <a:srgbClr val="C00000"/>
            </a:solidFill>
            <a:ln>
              <a:noFill/>
            </a:ln>
            <a:effectLst/>
          </c:spPr>
          <c:invertIfNegative val="0"/>
          <c:cat>
            <c:strRef>
              <c:f>DASHBOARD!$B$26:$B$29</c:f>
              <c:strCache>
                <c:ptCount val="4"/>
                <c:pt idx="0">
                  <c:v>COMPREHENSIVE - General Information</c:v>
                </c:pt>
                <c:pt idx="1">
                  <c:v>COMPREHENSIVE - Environment</c:v>
                </c:pt>
                <c:pt idx="2">
                  <c:v>COMPREHENSIVE - Social</c:v>
                </c:pt>
                <c:pt idx="3">
                  <c:v>COMPREHENSIVE - Governace</c:v>
                </c:pt>
              </c:strCache>
            </c:strRef>
          </c:cat>
          <c:val>
            <c:numRef>
              <c:f>DASHBOARD!$E$26:$E$29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2-2748-47A6-92B0-BC5399EEA01D}"/>
            </c:ext>
          </c:extLst>
        </c:ser>
        <c:ser>
          <c:idx val="3"/>
          <c:order val="3"/>
          <c:tx>
            <c:strRef>
              <c:f>DASHBOARD!$F$25</c:f>
              <c:strCache>
                <c:ptCount val="1"/>
                <c:pt idx="0">
                  <c:v>No but planned</c:v>
                </c:pt>
              </c:strCache>
            </c:strRef>
          </c:tx>
          <c:spPr>
            <a:solidFill>
              <a:srgbClr val="FFC000"/>
            </a:solidFill>
            <a:ln>
              <a:noFill/>
            </a:ln>
            <a:effectLst/>
          </c:spPr>
          <c:invertIfNegative val="0"/>
          <c:cat>
            <c:strRef>
              <c:f>DASHBOARD!$B$26:$B$29</c:f>
              <c:strCache>
                <c:ptCount val="4"/>
                <c:pt idx="0">
                  <c:v>COMPREHENSIVE - General Information</c:v>
                </c:pt>
                <c:pt idx="1">
                  <c:v>COMPREHENSIVE - Environment</c:v>
                </c:pt>
                <c:pt idx="2">
                  <c:v>COMPREHENSIVE - Social</c:v>
                </c:pt>
                <c:pt idx="3">
                  <c:v>COMPREHENSIVE - Governace</c:v>
                </c:pt>
              </c:strCache>
            </c:strRef>
          </c:cat>
          <c:val>
            <c:numRef>
              <c:f>DASHBOARD!$F$26:$F$29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2748-47A6-92B0-BC5399EEA01D}"/>
            </c:ext>
          </c:extLst>
        </c:ser>
        <c:dLbls>
          <c:showLegendKey val="0"/>
          <c:showVal val="0"/>
          <c:showCatName val="0"/>
          <c:showSerName val="0"/>
          <c:showPercent val="0"/>
          <c:showBubbleSize val="0"/>
        </c:dLbls>
        <c:gapWidth val="219"/>
        <c:overlap val="100"/>
        <c:axId val="1979492543"/>
        <c:axId val="1979493023"/>
      </c:barChart>
      <c:catAx>
        <c:axId val="197949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979493023"/>
        <c:crosses val="autoZero"/>
        <c:auto val="1"/>
        <c:lblAlgn val="ctr"/>
        <c:lblOffset val="100"/>
        <c:noMultiLvlLbl val="0"/>
      </c:catAx>
      <c:valAx>
        <c:axId val="1979493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979492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b="1"/>
              <a:t>GAP</a:t>
            </a:r>
            <a:r>
              <a:rPr lang="it-IT" b="1" baseline="0"/>
              <a:t> ANALYSIS - GENERAL INFORMATION </a:t>
            </a:r>
          </a:p>
          <a:p>
            <a:pPr>
              <a:defRPr/>
            </a:pPr>
            <a:r>
              <a:rPr lang="it-IT" b="1" baseline="0"/>
              <a:t>Modulo Base</a:t>
            </a:r>
            <a:endParaRPr lang="it-IT"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doughnutChart>
        <c:varyColors val="1"/>
        <c:ser>
          <c:idx val="0"/>
          <c:order val="0"/>
          <c:tx>
            <c:strRef>
              <c:f>DASHBOARD!$B$35</c:f>
              <c:strCache>
                <c:ptCount val="1"/>
                <c:pt idx="0">
                  <c:v>BASE - General Information</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CB97-4ADE-AB6A-778D3CF5F194}"/>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2-CB97-4ADE-AB6A-778D3CF5F194}"/>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3-CB97-4ADE-AB6A-778D3CF5F194}"/>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4-CB97-4ADE-AB6A-778D3CF5F194}"/>
              </c:ext>
            </c:extLst>
          </c:dPt>
          <c:cat>
            <c:strRef>
              <c:f>DASHBOARD!$C$34:$F$34</c:f>
              <c:strCache>
                <c:ptCount val="4"/>
                <c:pt idx="0">
                  <c:v>Yes</c:v>
                </c:pt>
                <c:pt idx="1">
                  <c:v>Yes, but integration needed</c:v>
                </c:pt>
                <c:pt idx="2">
                  <c:v>No</c:v>
                </c:pt>
                <c:pt idx="3">
                  <c:v>No but planned</c:v>
                </c:pt>
              </c:strCache>
            </c:strRef>
          </c:cat>
          <c:val>
            <c:numRef>
              <c:f>DASHBOARD!$C$35:$F$35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CB97-4ADE-AB6A-778D3CF5F19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b="1"/>
              <a:t>GAP</a:t>
            </a:r>
            <a:r>
              <a:rPr lang="it-IT" b="1" baseline="0"/>
              <a:t> ANALYSIS - TEMA AMBIENTE</a:t>
            </a:r>
          </a:p>
          <a:p>
            <a:pPr>
              <a:defRPr/>
            </a:pPr>
            <a:r>
              <a:rPr lang="it-IT" b="1" baseline="0"/>
              <a:t>Modulo Base</a:t>
            </a:r>
            <a:endParaRPr lang="it-IT"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doughnutChart>
        <c:varyColors val="1"/>
        <c:ser>
          <c:idx val="0"/>
          <c:order val="0"/>
          <c:tx>
            <c:strRef>
              <c:f>DASHBOARD!$B$40</c:f>
              <c:strCache>
                <c:ptCount val="1"/>
                <c:pt idx="0">
                  <c:v>BASE - Environment</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9822-41B2-8D0D-F87BD2B6A3F3}"/>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2-9822-41B2-8D0D-F87BD2B6A3F3}"/>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3-9822-41B2-8D0D-F87BD2B6A3F3}"/>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4-9822-41B2-8D0D-F87BD2B6A3F3}"/>
              </c:ext>
            </c:extLst>
          </c:dPt>
          <c:cat>
            <c:strRef>
              <c:f>DASHBOARD!$C$39:$F$39</c:f>
              <c:strCache>
                <c:ptCount val="4"/>
                <c:pt idx="0">
                  <c:v>Yes</c:v>
                </c:pt>
                <c:pt idx="1">
                  <c:v>Yes, but integration needed</c:v>
                </c:pt>
                <c:pt idx="2">
                  <c:v>No</c:v>
                </c:pt>
                <c:pt idx="3">
                  <c:v>No but planned</c:v>
                </c:pt>
              </c:strCache>
            </c:strRef>
          </c:cat>
          <c:val>
            <c:numRef>
              <c:f>DASHBOARD!$C$40:$F$40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9822-41B2-8D0D-F87BD2B6A3F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b="1"/>
              <a:t>GAP</a:t>
            </a:r>
            <a:r>
              <a:rPr lang="it-IT" b="1" baseline="0"/>
              <a:t> ANALYSIS - TEMA SOCIALE</a:t>
            </a:r>
          </a:p>
          <a:p>
            <a:pPr>
              <a:defRPr/>
            </a:pPr>
            <a:r>
              <a:rPr lang="it-IT" b="1" baseline="0"/>
              <a:t>Modulo Base</a:t>
            </a:r>
            <a:endParaRPr lang="it-IT"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doughnutChart>
        <c:varyColors val="1"/>
        <c:ser>
          <c:idx val="0"/>
          <c:order val="0"/>
          <c:tx>
            <c:strRef>
              <c:f>DASHBOARD!$B$45</c:f>
              <c:strCache>
                <c:ptCount val="1"/>
                <c:pt idx="0">
                  <c:v>BASE - Social</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4D5D-4C38-8225-F1E8BF76F69A}"/>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2-4D5D-4C38-8225-F1E8BF76F69A}"/>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3-4D5D-4C38-8225-F1E8BF76F6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F5-4ABD-A619-1016D66B5272}"/>
              </c:ext>
            </c:extLst>
          </c:dPt>
          <c:cat>
            <c:strRef>
              <c:f>DASHBOARD!$C$44:$F$44</c:f>
              <c:strCache>
                <c:ptCount val="4"/>
                <c:pt idx="0">
                  <c:v>Yes</c:v>
                </c:pt>
                <c:pt idx="1">
                  <c:v>Yes, but integration needed</c:v>
                </c:pt>
                <c:pt idx="2">
                  <c:v>No</c:v>
                </c:pt>
                <c:pt idx="3">
                  <c:v>No but planned</c:v>
                </c:pt>
              </c:strCache>
            </c:strRef>
          </c:cat>
          <c:val>
            <c:numRef>
              <c:f>DASHBOARD!$C$45:$F$45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4D5D-4C38-8225-F1E8BF76F69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b="1"/>
              <a:t>GAP</a:t>
            </a:r>
            <a:r>
              <a:rPr lang="it-IT" b="1" baseline="0"/>
              <a:t> ANALYSIS - TEMA GOVERNANCE</a:t>
            </a:r>
          </a:p>
          <a:p>
            <a:pPr>
              <a:defRPr/>
            </a:pPr>
            <a:r>
              <a:rPr lang="it-IT" b="1" baseline="0"/>
              <a:t>Modulo Base</a:t>
            </a:r>
            <a:endParaRPr lang="it-IT"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doughnutChart>
        <c:varyColors val="1"/>
        <c:ser>
          <c:idx val="0"/>
          <c:order val="0"/>
          <c:tx>
            <c:strRef>
              <c:f>DASHBOARD!$B$50</c:f>
              <c:strCache>
                <c:ptCount val="1"/>
                <c:pt idx="0">
                  <c:v>BASE - Governance</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C610-4A2E-A422-63550070A8F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2-C610-4A2E-A422-63550070A8F9}"/>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3-C610-4A2E-A422-63550070A8F9}"/>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4-C610-4A2E-A422-63550070A8F9}"/>
              </c:ext>
            </c:extLst>
          </c:dPt>
          <c:cat>
            <c:strRef>
              <c:f>DASHBOARD!$C$49:$F$49</c:f>
              <c:strCache>
                <c:ptCount val="4"/>
                <c:pt idx="0">
                  <c:v>Yes</c:v>
                </c:pt>
                <c:pt idx="1">
                  <c:v>Yes, but integration needed</c:v>
                </c:pt>
                <c:pt idx="2">
                  <c:v>No</c:v>
                </c:pt>
                <c:pt idx="3">
                  <c:v>No but planned</c:v>
                </c:pt>
              </c:strCache>
            </c:strRef>
          </c:cat>
          <c:val>
            <c:numRef>
              <c:f>DASHBOARD!$C$50:$F$50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C610-4A2E-A422-63550070A8F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b="1"/>
              <a:t>GAP</a:t>
            </a:r>
            <a:r>
              <a:rPr lang="it-IT" b="1" baseline="0"/>
              <a:t> ANALYSIS - GENERAL INFORMATION</a:t>
            </a:r>
          </a:p>
          <a:p>
            <a:pPr>
              <a:defRPr/>
            </a:pPr>
            <a:r>
              <a:rPr lang="it-IT" b="1" baseline="0"/>
              <a:t>Modulo Completo</a:t>
            </a:r>
            <a:endParaRPr lang="it-IT"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doughnutChart>
        <c:varyColors val="1"/>
        <c:ser>
          <c:idx val="0"/>
          <c:order val="0"/>
          <c:tx>
            <c:strRef>
              <c:f>DASHBOARD!$B$36</c:f>
              <c:strCache>
                <c:ptCount val="1"/>
                <c:pt idx="0">
                  <c:v>COMPREHENSIVE - General Information</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E376-4F88-B4E5-2F8D15A30A97}"/>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E376-4F88-B4E5-2F8D15A30A97}"/>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E376-4F88-B4E5-2F8D15A30A97}"/>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E376-4F88-B4E5-2F8D15A30A97}"/>
              </c:ext>
            </c:extLst>
          </c:dPt>
          <c:cat>
            <c:strRef>
              <c:f>DASHBOARD!$C$34:$F$34</c:f>
              <c:strCache>
                <c:ptCount val="4"/>
                <c:pt idx="0">
                  <c:v>Yes</c:v>
                </c:pt>
                <c:pt idx="1">
                  <c:v>Yes, but integration needed</c:v>
                </c:pt>
                <c:pt idx="2">
                  <c:v>No</c:v>
                </c:pt>
                <c:pt idx="3">
                  <c:v>No but planned</c:v>
                </c:pt>
              </c:strCache>
            </c:strRef>
          </c:cat>
          <c:val>
            <c:numRef>
              <c:f>DASHBOARD!$C$36:$F$36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E376-4F88-B4E5-2F8D15A30A9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b="1"/>
              <a:t>GAP</a:t>
            </a:r>
            <a:r>
              <a:rPr lang="it-IT" b="1" baseline="0"/>
              <a:t> ANALYSIS - TEMA AMBIENTE</a:t>
            </a:r>
          </a:p>
          <a:p>
            <a:pPr>
              <a:defRPr/>
            </a:pPr>
            <a:r>
              <a:rPr lang="it-IT" b="1" baseline="0"/>
              <a:t>Modulo Completo</a:t>
            </a:r>
            <a:endParaRPr lang="it-IT"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doughnutChart>
        <c:varyColors val="1"/>
        <c:ser>
          <c:idx val="0"/>
          <c:order val="0"/>
          <c:tx>
            <c:strRef>
              <c:f>DASHBOARD!$B$41</c:f>
              <c:strCache>
                <c:ptCount val="1"/>
                <c:pt idx="0">
                  <c:v>COMPREHENSIVE - Environment</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C656-41FE-A868-CA8C6C8805B1}"/>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C656-41FE-A868-CA8C6C8805B1}"/>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C656-41FE-A868-CA8C6C8805B1}"/>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C656-41FE-A868-CA8C6C8805B1}"/>
              </c:ext>
            </c:extLst>
          </c:dPt>
          <c:cat>
            <c:strRef>
              <c:f>DASHBOARD!$C$39:$F$39</c:f>
              <c:strCache>
                <c:ptCount val="4"/>
                <c:pt idx="0">
                  <c:v>Yes</c:v>
                </c:pt>
                <c:pt idx="1">
                  <c:v>Yes, but integration needed</c:v>
                </c:pt>
                <c:pt idx="2">
                  <c:v>No</c:v>
                </c:pt>
                <c:pt idx="3">
                  <c:v>No but planned</c:v>
                </c:pt>
              </c:strCache>
            </c:strRef>
          </c:cat>
          <c:val>
            <c:numRef>
              <c:f>DASHBOARD!$C$41:$F$41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C656-41FE-A868-CA8C6C8805B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b="1"/>
              <a:t>GAP</a:t>
            </a:r>
            <a:r>
              <a:rPr lang="it-IT" b="1" baseline="0"/>
              <a:t> ANALYSIS - TEMA SOCIALE</a:t>
            </a:r>
          </a:p>
          <a:p>
            <a:pPr>
              <a:defRPr/>
            </a:pPr>
            <a:r>
              <a:rPr lang="it-IT" b="1" baseline="0"/>
              <a:t>Modulo Completo</a:t>
            </a:r>
            <a:endParaRPr lang="it-IT"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doughnutChart>
        <c:varyColors val="1"/>
        <c:ser>
          <c:idx val="0"/>
          <c:order val="0"/>
          <c:tx>
            <c:strRef>
              <c:f>DASHBOARD!$B$46</c:f>
              <c:strCache>
                <c:ptCount val="1"/>
                <c:pt idx="0">
                  <c:v>COMPREHENSIVE - Social</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3847-43D9-A646-C36CA4A04E72}"/>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3847-43D9-A646-C36CA4A04E72}"/>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3847-43D9-A646-C36CA4A04E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47-43D9-A646-C36CA4A04E72}"/>
              </c:ext>
            </c:extLst>
          </c:dPt>
          <c:cat>
            <c:strRef>
              <c:f>DASHBOARD!$C$44:$F$44</c:f>
              <c:strCache>
                <c:ptCount val="4"/>
                <c:pt idx="0">
                  <c:v>Yes</c:v>
                </c:pt>
                <c:pt idx="1">
                  <c:v>Yes, but integration needed</c:v>
                </c:pt>
                <c:pt idx="2">
                  <c:v>No</c:v>
                </c:pt>
                <c:pt idx="3">
                  <c:v>No but planned</c:v>
                </c:pt>
              </c:strCache>
            </c:strRef>
          </c:cat>
          <c:val>
            <c:numRef>
              <c:f>DASHBOARD!$C$46:$F$46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3847-43D9-A646-C36CA4A04E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b="1"/>
              <a:t>GAP</a:t>
            </a:r>
            <a:r>
              <a:rPr lang="it-IT" b="1" baseline="0"/>
              <a:t> ANALYSIS - TEMA GOVERNANCE</a:t>
            </a:r>
          </a:p>
          <a:p>
            <a:pPr>
              <a:defRPr/>
            </a:pPr>
            <a:r>
              <a:rPr lang="it-IT" b="1" baseline="0"/>
              <a:t>Modulo Completo</a:t>
            </a:r>
            <a:endParaRPr lang="it-IT"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doughnutChart>
        <c:varyColors val="1"/>
        <c:ser>
          <c:idx val="0"/>
          <c:order val="0"/>
          <c:tx>
            <c:strRef>
              <c:f>DASHBOARD!$B$50</c:f>
              <c:strCache>
                <c:ptCount val="1"/>
                <c:pt idx="0">
                  <c:v>BASE - Governance</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CBF5-43E3-A8B2-9BA95D65972E}"/>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CBF5-43E3-A8B2-9BA95D65972E}"/>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CBF5-43E3-A8B2-9BA95D65972E}"/>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CBF5-43E3-A8B2-9BA95D65972E}"/>
              </c:ext>
            </c:extLst>
          </c:dPt>
          <c:cat>
            <c:strRef>
              <c:f>DASHBOARD!$C$49:$F$49</c:f>
              <c:strCache>
                <c:ptCount val="4"/>
                <c:pt idx="0">
                  <c:v>Yes</c:v>
                </c:pt>
                <c:pt idx="1">
                  <c:v>Yes, but integration needed</c:v>
                </c:pt>
                <c:pt idx="2">
                  <c:v>No</c:v>
                </c:pt>
                <c:pt idx="3">
                  <c:v>No but planned</c:v>
                </c:pt>
              </c:strCache>
            </c:strRef>
          </c:cat>
          <c:val>
            <c:numRef>
              <c:f>DASHBOARD!$C$50:$F$50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CBF5-43E3-A8B2-9BA95D65972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b="1"/>
              <a:t>GAP</a:t>
            </a:r>
            <a:r>
              <a:rPr lang="it-IT" b="1" baseline="0"/>
              <a:t> ANALYSIS - GENERAL INFORMATION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doughnutChart>
        <c:varyColors val="1"/>
        <c:ser>
          <c:idx val="0"/>
          <c:order val="0"/>
          <c:tx>
            <c:strRef>
              <c:f>DASHBOARD!$B$37</c:f>
              <c:strCache>
                <c:ptCount val="1"/>
                <c:pt idx="0">
                  <c:v>TOTALE</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3592-4125-A926-0B598B83E9EF}"/>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3592-4125-A926-0B598B83E9EF}"/>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3592-4125-A926-0B598B83E9EF}"/>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3592-4125-A926-0B598B83E9EF}"/>
              </c:ext>
            </c:extLst>
          </c:dPt>
          <c:cat>
            <c:strRef>
              <c:f>DASHBOARD!$C$34:$F$34</c:f>
              <c:strCache>
                <c:ptCount val="4"/>
                <c:pt idx="0">
                  <c:v>Yes</c:v>
                </c:pt>
                <c:pt idx="1">
                  <c:v>Yes, but integration needed</c:v>
                </c:pt>
                <c:pt idx="2">
                  <c:v>No</c:v>
                </c:pt>
                <c:pt idx="3">
                  <c:v>No but planned</c:v>
                </c:pt>
              </c:strCache>
            </c:strRef>
          </c:cat>
          <c:val>
            <c:numRef>
              <c:f>DASHBOARD!$C$37:$F$37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3592-4125-A926-0B598B83E9E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b="1"/>
              <a:t>GAP</a:t>
            </a:r>
            <a:r>
              <a:rPr lang="it-IT" b="1" baseline="0"/>
              <a:t> ANALYSIS - TEMA AMBIENTE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doughnutChart>
        <c:varyColors val="1"/>
        <c:ser>
          <c:idx val="0"/>
          <c:order val="0"/>
          <c:tx>
            <c:strRef>
              <c:f>DASHBOARD!$B$42</c:f>
              <c:strCache>
                <c:ptCount val="1"/>
                <c:pt idx="0">
                  <c:v>TOTALE</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4FBB-4572-A9F3-30757E175C82}"/>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4FBB-4572-A9F3-30757E175C82}"/>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4FBB-4572-A9F3-30757E175C82}"/>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4FBB-4572-A9F3-30757E175C82}"/>
              </c:ext>
            </c:extLst>
          </c:dPt>
          <c:cat>
            <c:strRef>
              <c:f>DASHBOARD!$C$39:$F$39</c:f>
              <c:strCache>
                <c:ptCount val="4"/>
                <c:pt idx="0">
                  <c:v>Yes</c:v>
                </c:pt>
                <c:pt idx="1">
                  <c:v>Yes, but integration needed</c:v>
                </c:pt>
                <c:pt idx="2">
                  <c:v>No</c:v>
                </c:pt>
                <c:pt idx="3">
                  <c:v>No but planned</c:v>
                </c:pt>
              </c:strCache>
            </c:strRef>
          </c:cat>
          <c:val>
            <c:numRef>
              <c:f>DASHBOARD!$C$42:$F$42</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4FBB-4572-A9F3-30757E175C8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b="1"/>
              <a:t>GAP</a:t>
            </a:r>
            <a:r>
              <a:rPr lang="it-IT" b="1" baseline="0"/>
              <a:t> ANALYSIS - TEMA SOCIALE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doughnutChart>
        <c:varyColors val="1"/>
        <c:ser>
          <c:idx val="0"/>
          <c:order val="0"/>
          <c:tx>
            <c:strRef>
              <c:f>DASHBOARD!$B$47</c:f>
              <c:strCache>
                <c:ptCount val="1"/>
                <c:pt idx="0">
                  <c:v>TOTALE</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2FBC-409F-8381-56F4B8649AF8}"/>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2FBC-409F-8381-56F4B8649AF8}"/>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2FBC-409F-8381-56F4B8649AF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BC-409F-8381-56F4B8649AF8}"/>
              </c:ext>
            </c:extLst>
          </c:dPt>
          <c:cat>
            <c:strRef>
              <c:f>DASHBOARD!$C$44:$F$44</c:f>
              <c:strCache>
                <c:ptCount val="4"/>
                <c:pt idx="0">
                  <c:v>Yes</c:v>
                </c:pt>
                <c:pt idx="1">
                  <c:v>Yes, but integration needed</c:v>
                </c:pt>
                <c:pt idx="2">
                  <c:v>No</c:v>
                </c:pt>
                <c:pt idx="3">
                  <c:v>No but planned</c:v>
                </c:pt>
              </c:strCache>
            </c:strRef>
          </c:cat>
          <c:val>
            <c:numRef>
              <c:f>DASHBOARD!$C$47:$F$47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2FBC-409F-8381-56F4B8649AF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b="1"/>
              <a:t>GAP</a:t>
            </a:r>
            <a:r>
              <a:rPr lang="it-IT" b="1" baseline="0"/>
              <a:t> ANALYSIS - TEMA GOVERNANCE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doughnutChart>
        <c:varyColors val="1"/>
        <c:ser>
          <c:idx val="0"/>
          <c:order val="0"/>
          <c:tx>
            <c:strRef>
              <c:f>DASHBOARD!$B$52</c:f>
              <c:strCache>
                <c:ptCount val="1"/>
                <c:pt idx="0">
                  <c:v>TOTALE</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F48C-4244-943B-7FDDA794CDEF}"/>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F48C-4244-943B-7FDDA794CDEF}"/>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F48C-4244-943B-7FDDA794CDEF}"/>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F48C-4244-943B-7FDDA794CDEF}"/>
              </c:ext>
            </c:extLst>
          </c:dPt>
          <c:cat>
            <c:strRef>
              <c:f>DASHBOARD!$C$49:$F$49</c:f>
              <c:strCache>
                <c:ptCount val="4"/>
                <c:pt idx="0">
                  <c:v>Yes</c:v>
                </c:pt>
                <c:pt idx="1">
                  <c:v>Yes, but integration needed</c:v>
                </c:pt>
                <c:pt idx="2">
                  <c:v>No</c:v>
                </c:pt>
                <c:pt idx="3">
                  <c:v>No but planned</c:v>
                </c:pt>
              </c:strCache>
            </c:strRef>
          </c:cat>
          <c:val>
            <c:numRef>
              <c:f>DASHBOARD!$C$52:$F$52</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F48C-4244-943B-7FDDA794CDE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8</xdr:col>
      <xdr:colOff>732220</xdr:colOff>
      <xdr:row>1</xdr:row>
      <xdr:rowOff>3635</xdr:rowOff>
    </xdr:from>
    <xdr:to>
      <xdr:col>18</xdr:col>
      <xdr:colOff>202280</xdr:colOff>
      <xdr:row>10</xdr:row>
      <xdr:rowOff>247106</xdr:rowOff>
    </xdr:to>
    <xdr:graphicFrame macro="">
      <xdr:nvGraphicFramePr>
        <xdr:cNvPr id="2" name="Grafico 1">
          <a:extLst>
            <a:ext uri="{FF2B5EF4-FFF2-40B4-BE49-F238E27FC236}">
              <a16:creationId xmlns:a16="http://schemas.microsoft.com/office/drawing/2014/main" id="{A3E493E3-8511-2121-D911-4D500D5F7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403659</xdr:colOff>
      <xdr:row>1</xdr:row>
      <xdr:rowOff>86264</xdr:rowOff>
    </xdr:from>
    <xdr:to>
      <xdr:col>28</xdr:col>
      <xdr:colOff>495756</xdr:colOff>
      <xdr:row>10</xdr:row>
      <xdr:rowOff>390945</xdr:rowOff>
    </xdr:to>
    <xdr:graphicFrame macro="">
      <xdr:nvGraphicFramePr>
        <xdr:cNvPr id="4" name="Grafico 3">
          <a:extLst>
            <a:ext uri="{FF2B5EF4-FFF2-40B4-BE49-F238E27FC236}">
              <a16:creationId xmlns:a16="http://schemas.microsoft.com/office/drawing/2014/main" id="{BEC2D92C-50B4-472C-B5DE-77E8E6253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229129</xdr:colOff>
      <xdr:row>2</xdr:row>
      <xdr:rowOff>14136</xdr:rowOff>
    </xdr:from>
    <xdr:to>
      <xdr:col>36</xdr:col>
      <xdr:colOff>515813</xdr:colOff>
      <xdr:row>8</xdr:row>
      <xdr:rowOff>272357</xdr:rowOff>
    </xdr:to>
    <xdr:graphicFrame macro="">
      <xdr:nvGraphicFramePr>
        <xdr:cNvPr id="8" name="Grafico 7">
          <a:extLst>
            <a:ext uri="{FF2B5EF4-FFF2-40B4-BE49-F238E27FC236}">
              <a16:creationId xmlns:a16="http://schemas.microsoft.com/office/drawing/2014/main" id="{D9D851E3-2789-B497-FDC6-65A3551876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531395</xdr:colOff>
      <xdr:row>10</xdr:row>
      <xdr:rowOff>413084</xdr:rowOff>
    </xdr:from>
    <xdr:to>
      <xdr:col>15</xdr:col>
      <xdr:colOff>210553</xdr:colOff>
      <xdr:row>25</xdr:row>
      <xdr:rowOff>99286</xdr:rowOff>
    </xdr:to>
    <xdr:graphicFrame macro="">
      <xdr:nvGraphicFramePr>
        <xdr:cNvPr id="5" name="Grafico 4">
          <a:extLst>
            <a:ext uri="{FF2B5EF4-FFF2-40B4-BE49-F238E27FC236}">
              <a16:creationId xmlns:a16="http://schemas.microsoft.com/office/drawing/2014/main" id="{9880BFA3-F84E-EFF7-B1F7-3EBBE6922E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53475</xdr:colOff>
      <xdr:row>11</xdr:row>
      <xdr:rowOff>14345</xdr:rowOff>
    </xdr:from>
    <xdr:to>
      <xdr:col>23</xdr:col>
      <xdr:colOff>344238</xdr:colOff>
      <xdr:row>25</xdr:row>
      <xdr:rowOff>125252</xdr:rowOff>
    </xdr:to>
    <xdr:graphicFrame macro="">
      <xdr:nvGraphicFramePr>
        <xdr:cNvPr id="6" name="Grafico 5">
          <a:extLst>
            <a:ext uri="{FF2B5EF4-FFF2-40B4-BE49-F238E27FC236}">
              <a16:creationId xmlns:a16="http://schemas.microsoft.com/office/drawing/2014/main" id="{438368BF-7454-1E7C-9DCF-6EDF324B4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447586</xdr:colOff>
      <xdr:row>26</xdr:row>
      <xdr:rowOff>11790</xdr:rowOff>
    </xdr:from>
    <xdr:to>
      <xdr:col>15</xdr:col>
      <xdr:colOff>129730</xdr:colOff>
      <xdr:row>39</xdr:row>
      <xdr:rowOff>156306</xdr:rowOff>
    </xdr:to>
    <xdr:graphicFrame macro="">
      <xdr:nvGraphicFramePr>
        <xdr:cNvPr id="7" name="Grafico 6">
          <a:extLst>
            <a:ext uri="{FF2B5EF4-FFF2-40B4-BE49-F238E27FC236}">
              <a16:creationId xmlns:a16="http://schemas.microsoft.com/office/drawing/2014/main" id="{223C1988-DA19-B4F4-2C8E-C8F3F0142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515068</xdr:colOff>
      <xdr:row>41</xdr:row>
      <xdr:rowOff>87341</xdr:rowOff>
    </xdr:from>
    <xdr:to>
      <xdr:col>15</xdr:col>
      <xdr:colOff>215756</xdr:colOff>
      <xdr:row>55</xdr:row>
      <xdr:rowOff>175805</xdr:rowOff>
    </xdr:to>
    <xdr:graphicFrame macro="">
      <xdr:nvGraphicFramePr>
        <xdr:cNvPr id="3" name="Grafico 2">
          <a:extLst>
            <a:ext uri="{FF2B5EF4-FFF2-40B4-BE49-F238E27FC236}">
              <a16:creationId xmlns:a16="http://schemas.microsoft.com/office/drawing/2014/main" id="{D94331D6-6786-8242-A064-88EE965CE5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503636</xdr:colOff>
      <xdr:row>57</xdr:row>
      <xdr:rowOff>48265</xdr:rowOff>
    </xdr:from>
    <xdr:to>
      <xdr:col>15</xdr:col>
      <xdr:colOff>211806</xdr:colOff>
      <xdr:row>72</xdr:row>
      <xdr:rowOff>1415</xdr:rowOff>
    </xdr:to>
    <xdr:graphicFrame macro="">
      <xdr:nvGraphicFramePr>
        <xdr:cNvPr id="9" name="Grafico 8">
          <a:extLst>
            <a:ext uri="{FF2B5EF4-FFF2-40B4-BE49-F238E27FC236}">
              <a16:creationId xmlns:a16="http://schemas.microsoft.com/office/drawing/2014/main" id="{6C3025CC-78D3-0BDB-E9F6-7CC45373E0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554768</xdr:colOff>
      <xdr:row>73</xdr:row>
      <xdr:rowOff>6485</xdr:rowOff>
    </xdr:from>
    <xdr:to>
      <xdr:col>15</xdr:col>
      <xdr:colOff>255456</xdr:colOff>
      <xdr:row>87</xdr:row>
      <xdr:rowOff>144419</xdr:rowOff>
    </xdr:to>
    <xdr:graphicFrame macro="">
      <xdr:nvGraphicFramePr>
        <xdr:cNvPr id="10" name="Grafico 9">
          <a:extLst>
            <a:ext uri="{FF2B5EF4-FFF2-40B4-BE49-F238E27FC236}">
              <a16:creationId xmlns:a16="http://schemas.microsoft.com/office/drawing/2014/main" id="{8DAFC7B3-E045-66CC-E6A7-F2E53A2F1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9770</xdr:colOff>
      <xdr:row>26</xdr:row>
      <xdr:rowOff>58615</xdr:rowOff>
    </xdr:from>
    <xdr:to>
      <xdr:col>23</xdr:col>
      <xdr:colOff>307375</xdr:colOff>
      <xdr:row>40</xdr:row>
      <xdr:rowOff>9769</xdr:rowOff>
    </xdr:to>
    <xdr:graphicFrame macro="">
      <xdr:nvGraphicFramePr>
        <xdr:cNvPr id="11" name="Grafico 10">
          <a:extLst>
            <a:ext uri="{FF2B5EF4-FFF2-40B4-BE49-F238E27FC236}">
              <a16:creationId xmlns:a16="http://schemas.microsoft.com/office/drawing/2014/main" id="{2D3BB215-3CD3-494C-8D71-278FF91AF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58616</xdr:colOff>
      <xdr:row>41</xdr:row>
      <xdr:rowOff>78155</xdr:rowOff>
    </xdr:from>
    <xdr:to>
      <xdr:col>23</xdr:col>
      <xdr:colOff>374765</xdr:colOff>
      <xdr:row>55</xdr:row>
      <xdr:rowOff>166619</xdr:rowOff>
    </xdr:to>
    <xdr:graphicFrame macro="">
      <xdr:nvGraphicFramePr>
        <xdr:cNvPr id="12" name="Grafico 11">
          <a:extLst>
            <a:ext uri="{FF2B5EF4-FFF2-40B4-BE49-F238E27FC236}">
              <a16:creationId xmlns:a16="http://schemas.microsoft.com/office/drawing/2014/main" id="{C561FD51-4DD3-4DDD-938F-FCB384E1B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136770</xdr:colOff>
      <xdr:row>57</xdr:row>
      <xdr:rowOff>58616</xdr:rowOff>
    </xdr:from>
    <xdr:to>
      <xdr:col>23</xdr:col>
      <xdr:colOff>460401</xdr:colOff>
      <xdr:row>72</xdr:row>
      <xdr:rowOff>11766</xdr:rowOff>
    </xdr:to>
    <xdr:graphicFrame macro="">
      <xdr:nvGraphicFramePr>
        <xdr:cNvPr id="13" name="Grafico 12">
          <a:extLst>
            <a:ext uri="{FF2B5EF4-FFF2-40B4-BE49-F238E27FC236}">
              <a16:creationId xmlns:a16="http://schemas.microsoft.com/office/drawing/2014/main" id="{2EDBF631-1F0C-47D4-B7DA-A3F55330F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0</xdr:colOff>
      <xdr:row>73</xdr:row>
      <xdr:rowOff>0</xdr:rowOff>
    </xdr:from>
    <xdr:to>
      <xdr:col>23</xdr:col>
      <xdr:colOff>316149</xdr:colOff>
      <xdr:row>87</xdr:row>
      <xdr:rowOff>137934</xdr:rowOff>
    </xdr:to>
    <xdr:graphicFrame macro="">
      <xdr:nvGraphicFramePr>
        <xdr:cNvPr id="14" name="Grafico 13">
          <a:extLst>
            <a:ext uri="{FF2B5EF4-FFF2-40B4-BE49-F238E27FC236}">
              <a16:creationId xmlns:a16="http://schemas.microsoft.com/office/drawing/2014/main" id="{BC7C6B8F-CBA9-48C4-A601-1B9D6E8EF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25</xdr:col>
      <xdr:colOff>0</xdr:colOff>
      <xdr:row>26</xdr:row>
      <xdr:rowOff>0</xdr:rowOff>
    </xdr:from>
    <xdr:to>
      <xdr:col>32</xdr:col>
      <xdr:colOff>297606</xdr:colOff>
      <xdr:row>39</xdr:row>
      <xdr:rowOff>146539</xdr:rowOff>
    </xdr:to>
    <xdr:graphicFrame macro="">
      <xdr:nvGraphicFramePr>
        <xdr:cNvPr id="15" name="Grafico 14">
          <a:extLst>
            <a:ext uri="{FF2B5EF4-FFF2-40B4-BE49-F238E27FC236}">
              <a16:creationId xmlns:a16="http://schemas.microsoft.com/office/drawing/2014/main" id="{FF24BAB8-BCAD-49B6-926E-261C38A92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25</xdr:col>
      <xdr:colOff>0</xdr:colOff>
      <xdr:row>41</xdr:row>
      <xdr:rowOff>0</xdr:rowOff>
    </xdr:from>
    <xdr:to>
      <xdr:col>32</xdr:col>
      <xdr:colOff>316150</xdr:colOff>
      <xdr:row>55</xdr:row>
      <xdr:rowOff>88464</xdr:rowOff>
    </xdr:to>
    <xdr:graphicFrame macro="">
      <xdr:nvGraphicFramePr>
        <xdr:cNvPr id="16" name="Grafico 15">
          <a:extLst>
            <a:ext uri="{FF2B5EF4-FFF2-40B4-BE49-F238E27FC236}">
              <a16:creationId xmlns:a16="http://schemas.microsoft.com/office/drawing/2014/main" id="{C59DD0D1-6214-4B48-8965-6103A623E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25</xdr:col>
      <xdr:colOff>68384</xdr:colOff>
      <xdr:row>57</xdr:row>
      <xdr:rowOff>39077</xdr:rowOff>
    </xdr:from>
    <xdr:to>
      <xdr:col>32</xdr:col>
      <xdr:colOff>392016</xdr:colOff>
      <xdr:row>71</xdr:row>
      <xdr:rowOff>177842</xdr:rowOff>
    </xdr:to>
    <xdr:graphicFrame macro="">
      <xdr:nvGraphicFramePr>
        <xdr:cNvPr id="17" name="Grafico 16">
          <a:extLst>
            <a:ext uri="{FF2B5EF4-FFF2-40B4-BE49-F238E27FC236}">
              <a16:creationId xmlns:a16="http://schemas.microsoft.com/office/drawing/2014/main" id="{D12F2186-5248-4333-9284-8787F6F46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25</xdr:col>
      <xdr:colOff>0</xdr:colOff>
      <xdr:row>73</xdr:row>
      <xdr:rowOff>0</xdr:rowOff>
    </xdr:from>
    <xdr:to>
      <xdr:col>32</xdr:col>
      <xdr:colOff>316150</xdr:colOff>
      <xdr:row>87</xdr:row>
      <xdr:rowOff>137934</xdr:rowOff>
    </xdr:to>
    <xdr:graphicFrame macro="">
      <xdr:nvGraphicFramePr>
        <xdr:cNvPr id="18" name="Grafico 17">
          <a:extLst>
            <a:ext uri="{FF2B5EF4-FFF2-40B4-BE49-F238E27FC236}">
              <a16:creationId xmlns:a16="http://schemas.microsoft.com/office/drawing/2014/main" id="{8E62D78D-2ADE-4CEA-8DC7-872FE7D68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
  <rv s="0">
    <v>0</v>
    <v>5</v>
  </rv>
  <rv s="0">
    <v>1</v>
    <v>5</v>
  </rv>
  <rv s="0">
    <v>2</v>
    <v>5</v>
  </rv>
  <rv s="0">
    <v>3</v>
    <v>5</v>
  </rv>
  <rv s="0">
    <v>4</v>
    <v>5</v>
  </rv>
  <rv s="0">
    <v>5</v>
    <v>5</v>
  </rv>
  <rv s="0">
    <v>6</v>
    <v>5</v>
  </rv>
  <rv s="0">
    <v>7</v>
    <v>5</v>
  </rv>
  <rv s="0">
    <v>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7F0F1-A343-44E6-A006-452638951428}">
  <dimension ref="A1:L412"/>
  <sheetViews>
    <sheetView tabSelected="1" zoomScaleNormal="100" workbookViewId="0">
      <pane ySplit="1" topLeftCell="A2" activePane="bottomLeft" state="frozen"/>
      <selection activeCell="M25" sqref="M25"/>
      <selection pane="bottomLeft" activeCell="H48" sqref="H48"/>
    </sheetView>
  </sheetViews>
  <sheetFormatPr defaultColWidth="8.77734375" defaultRowHeight="14.4"/>
  <cols>
    <col min="1" max="1" width="11.88671875" style="19" bestFit="1" customWidth="1"/>
    <col min="2" max="2" width="8" style="19" customWidth="1"/>
    <col min="3" max="3" width="19.33203125" style="19" bestFit="1" customWidth="1"/>
    <col min="4" max="4" width="7.88671875" style="19" customWidth="1"/>
    <col min="5" max="5" width="23.33203125" style="19" customWidth="1"/>
    <col min="6" max="6" width="12.5546875" style="19" customWidth="1"/>
    <col min="7" max="7" width="69" style="19" customWidth="1"/>
    <col min="8" max="8" width="11.109375" style="19" customWidth="1"/>
    <col min="9" max="9" width="12.77734375" style="19" customWidth="1"/>
    <col min="10" max="10" width="7.6640625" style="19" customWidth="1"/>
    <col min="11" max="11" width="50.21875" style="19" bestFit="1" customWidth="1"/>
    <col min="12" max="12" width="9.6640625" style="19" bestFit="1" customWidth="1"/>
    <col min="13" max="16384" width="8.77734375" style="19"/>
  </cols>
  <sheetData>
    <row r="1" spans="1:11" ht="28.8">
      <c r="A1" s="64" t="s">
        <v>0</v>
      </c>
      <c r="B1" s="64" t="s">
        <v>64</v>
      </c>
      <c r="C1" s="64" t="s">
        <v>65</v>
      </c>
      <c r="D1" s="64" t="s">
        <v>66</v>
      </c>
      <c r="E1" s="64" t="s">
        <v>67</v>
      </c>
      <c r="F1" s="64" t="s">
        <v>789</v>
      </c>
      <c r="G1" s="64" t="s">
        <v>68</v>
      </c>
      <c r="H1" s="64" t="s">
        <v>185</v>
      </c>
      <c r="I1" s="64" t="s">
        <v>186</v>
      </c>
      <c r="J1" s="64" t="s">
        <v>188</v>
      </c>
      <c r="K1" s="66" t="s">
        <v>673</v>
      </c>
    </row>
    <row r="2" spans="1:11" ht="28.8">
      <c r="A2" s="19" t="s">
        <v>1</v>
      </c>
      <c r="B2" s="19" t="s">
        <v>36</v>
      </c>
      <c r="C2" s="19" t="s">
        <v>37</v>
      </c>
      <c r="D2" s="19" t="s">
        <v>116</v>
      </c>
      <c r="E2" s="19" t="s">
        <v>193</v>
      </c>
      <c r="F2" s="19" t="str">
        <f>IF(VALUE(A2)&gt;66,"guidance","datapoint")</f>
        <v>datapoint</v>
      </c>
      <c r="G2" s="65" t="s">
        <v>34</v>
      </c>
      <c r="I2" s="19" t="s">
        <v>116</v>
      </c>
    </row>
    <row r="3" spans="1:11" ht="40.200000000000003">
      <c r="A3" s="19">
        <v>22</v>
      </c>
      <c r="B3" s="19" t="s">
        <v>36</v>
      </c>
      <c r="C3" s="19" t="s">
        <v>37</v>
      </c>
      <c r="D3" s="19" t="s">
        <v>116</v>
      </c>
      <c r="E3" s="19" t="s">
        <v>193</v>
      </c>
      <c r="F3" s="19" t="str">
        <f t="shared" ref="F3:F66" si="0">IF(VALUE(A3)&gt;66,"guidance","datapoint")</f>
        <v>datapoint</v>
      </c>
      <c r="G3" s="65" t="s">
        <v>676</v>
      </c>
      <c r="I3" s="19" t="s">
        <v>116</v>
      </c>
    </row>
    <row r="4" spans="1:11" ht="28.8">
      <c r="A4" s="19" t="s">
        <v>2</v>
      </c>
      <c r="B4" s="19" t="s">
        <v>36</v>
      </c>
      <c r="C4" s="19" t="s">
        <v>37</v>
      </c>
      <c r="D4" s="19" t="s">
        <v>116</v>
      </c>
      <c r="E4" s="19" t="s">
        <v>193</v>
      </c>
      <c r="F4" s="19" t="str">
        <f t="shared" si="0"/>
        <v>datapoint</v>
      </c>
      <c r="G4" s="65" t="s">
        <v>35</v>
      </c>
      <c r="I4" s="19" t="s">
        <v>116</v>
      </c>
    </row>
    <row r="5" spans="1:11" ht="66.599999999999994">
      <c r="A5" s="19">
        <v>66</v>
      </c>
      <c r="B5" s="19" t="s">
        <v>36</v>
      </c>
      <c r="C5" s="19" t="s">
        <v>37</v>
      </c>
      <c r="D5" s="19" t="s">
        <v>116</v>
      </c>
      <c r="E5" s="19" t="s">
        <v>193</v>
      </c>
      <c r="F5" s="19" t="str">
        <f t="shared" si="0"/>
        <v>datapoint</v>
      </c>
      <c r="G5" s="65" t="s">
        <v>252</v>
      </c>
      <c r="I5" s="19" t="s">
        <v>116</v>
      </c>
    </row>
    <row r="6" spans="1:11" ht="28.8">
      <c r="A6" s="19">
        <v>67</v>
      </c>
      <c r="B6" s="19" t="s">
        <v>36</v>
      </c>
      <c r="C6" s="19" t="s">
        <v>37</v>
      </c>
      <c r="D6" s="19" t="s">
        <v>116</v>
      </c>
      <c r="E6" s="19" t="s">
        <v>193</v>
      </c>
      <c r="F6" s="19" t="str">
        <f t="shared" si="0"/>
        <v>guidance</v>
      </c>
      <c r="G6" s="65" t="s">
        <v>194</v>
      </c>
    </row>
    <row r="7" spans="1:11">
      <c r="A7" s="19">
        <v>24</v>
      </c>
      <c r="B7" s="19" t="s">
        <v>36</v>
      </c>
      <c r="C7" s="19" t="s">
        <v>38</v>
      </c>
      <c r="D7" s="19" t="s">
        <v>39</v>
      </c>
      <c r="E7" s="19" t="s">
        <v>40</v>
      </c>
      <c r="F7" s="19" t="str">
        <f t="shared" si="0"/>
        <v>datapoint</v>
      </c>
      <c r="G7" s="65" t="s">
        <v>41</v>
      </c>
      <c r="H7" s="19" t="s">
        <v>74</v>
      </c>
      <c r="I7" s="19" t="s">
        <v>187</v>
      </c>
      <c r="K7" s="9" t="s">
        <v>674</v>
      </c>
    </row>
    <row r="8" spans="1:11">
      <c r="A8" s="19">
        <v>24</v>
      </c>
      <c r="B8" s="19" t="s">
        <v>36</v>
      </c>
      <c r="C8" s="19" t="s">
        <v>38</v>
      </c>
      <c r="D8" s="19" t="s">
        <v>39</v>
      </c>
      <c r="E8" s="19" t="s">
        <v>40</v>
      </c>
      <c r="F8" s="19" t="str">
        <f t="shared" si="0"/>
        <v>datapoint</v>
      </c>
      <c r="G8" s="67" t="s">
        <v>42</v>
      </c>
      <c r="I8" s="19" t="s">
        <v>187</v>
      </c>
      <c r="K8" s="9" t="s">
        <v>674</v>
      </c>
    </row>
    <row r="9" spans="1:11">
      <c r="A9" s="19">
        <v>24</v>
      </c>
      <c r="B9" s="19" t="s">
        <v>36</v>
      </c>
      <c r="C9" s="19" t="s">
        <v>38</v>
      </c>
      <c r="D9" s="19" t="s">
        <v>39</v>
      </c>
      <c r="E9" s="19" t="s">
        <v>40</v>
      </c>
      <c r="F9" s="19" t="str">
        <f t="shared" si="0"/>
        <v>datapoint</v>
      </c>
      <c r="G9" s="65" t="s">
        <v>43</v>
      </c>
      <c r="I9" s="19" t="s">
        <v>189</v>
      </c>
      <c r="K9" s="9" t="s">
        <v>674</v>
      </c>
    </row>
    <row r="10" spans="1:11">
      <c r="A10" s="19">
        <v>24</v>
      </c>
      <c r="B10" s="19" t="s">
        <v>36</v>
      </c>
      <c r="C10" s="19" t="s">
        <v>38</v>
      </c>
      <c r="D10" s="19" t="s">
        <v>39</v>
      </c>
      <c r="E10" s="19" t="s">
        <v>40</v>
      </c>
      <c r="F10" s="19" t="str">
        <f t="shared" si="0"/>
        <v>datapoint</v>
      </c>
      <c r="G10" s="65" t="s">
        <v>44</v>
      </c>
      <c r="I10" s="19" t="s">
        <v>189</v>
      </c>
      <c r="K10" s="9" t="s">
        <v>674</v>
      </c>
    </row>
    <row r="11" spans="1:11" ht="40.200000000000003">
      <c r="A11" s="19">
        <v>24</v>
      </c>
      <c r="B11" s="19" t="s">
        <v>36</v>
      </c>
      <c r="C11" s="19" t="s">
        <v>38</v>
      </c>
      <c r="D11" s="19" t="s">
        <v>39</v>
      </c>
      <c r="E11" s="19" t="s">
        <v>40</v>
      </c>
      <c r="F11" s="19" t="str">
        <f t="shared" si="0"/>
        <v>datapoint</v>
      </c>
      <c r="G11" s="67" t="s">
        <v>45</v>
      </c>
      <c r="I11" s="19" t="s">
        <v>189</v>
      </c>
      <c r="K11" s="19" t="s">
        <v>674</v>
      </c>
    </row>
    <row r="12" spans="1:11" ht="53.4">
      <c r="A12" s="19">
        <v>24</v>
      </c>
      <c r="B12" s="19" t="s">
        <v>36</v>
      </c>
      <c r="C12" s="19" t="s">
        <v>38</v>
      </c>
      <c r="D12" s="19" t="s">
        <v>39</v>
      </c>
      <c r="E12" s="19" t="s">
        <v>40</v>
      </c>
      <c r="F12" s="19" t="str">
        <f t="shared" si="0"/>
        <v>datapoint</v>
      </c>
      <c r="G12" s="67" t="s">
        <v>46</v>
      </c>
      <c r="I12" s="19" t="s">
        <v>189</v>
      </c>
      <c r="K12" s="19" t="s">
        <v>674</v>
      </c>
    </row>
    <row r="13" spans="1:11" ht="27">
      <c r="A13" s="19">
        <v>24</v>
      </c>
      <c r="B13" s="19" t="s">
        <v>36</v>
      </c>
      <c r="C13" s="19" t="s">
        <v>38</v>
      </c>
      <c r="D13" s="19" t="s">
        <v>39</v>
      </c>
      <c r="E13" s="19" t="s">
        <v>40</v>
      </c>
      <c r="F13" s="19" t="str">
        <f t="shared" si="0"/>
        <v>datapoint</v>
      </c>
      <c r="G13" s="67" t="s">
        <v>47</v>
      </c>
      <c r="I13" s="19" t="s">
        <v>189</v>
      </c>
      <c r="K13" s="19" t="s">
        <v>678</v>
      </c>
    </row>
    <row r="14" spans="1:11">
      <c r="A14" s="19">
        <v>24</v>
      </c>
      <c r="B14" s="19" t="s">
        <v>36</v>
      </c>
      <c r="C14" s="19" t="s">
        <v>38</v>
      </c>
      <c r="D14" s="19" t="s">
        <v>39</v>
      </c>
      <c r="E14" s="19" t="s">
        <v>40</v>
      </c>
      <c r="F14" s="19" t="str">
        <f t="shared" si="0"/>
        <v>datapoint</v>
      </c>
      <c r="G14" s="67" t="s">
        <v>48</v>
      </c>
      <c r="I14" s="19" t="s">
        <v>189</v>
      </c>
      <c r="K14" s="19" t="s">
        <v>678</v>
      </c>
    </row>
    <row r="15" spans="1:11">
      <c r="A15" s="19">
        <v>24</v>
      </c>
      <c r="B15" s="19" t="s">
        <v>36</v>
      </c>
      <c r="C15" s="19" t="s">
        <v>38</v>
      </c>
      <c r="D15" s="19" t="s">
        <v>39</v>
      </c>
      <c r="E15" s="19" t="s">
        <v>40</v>
      </c>
      <c r="F15" s="19" t="str">
        <f t="shared" si="0"/>
        <v>datapoint</v>
      </c>
      <c r="G15" s="65" t="s">
        <v>49</v>
      </c>
      <c r="I15" s="19" t="s">
        <v>189</v>
      </c>
      <c r="K15" s="19" t="s">
        <v>678</v>
      </c>
    </row>
    <row r="16" spans="1:11">
      <c r="A16" s="19">
        <v>24</v>
      </c>
      <c r="B16" s="19" t="s">
        <v>36</v>
      </c>
      <c r="C16" s="19" t="s">
        <v>38</v>
      </c>
      <c r="D16" s="19" t="s">
        <v>39</v>
      </c>
      <c r="E16" s="19" t="s">
        <v>40</v>
      </c>
      <c r="F16" s="19" t="str">
        <f t="shared" si="0"/>
        <v>datapoint</v>
      </c>
      <c r="G16" s="65" t="s">
        <v>50</v>
      </c>
      <c r="I16" s="19" t="s">
        <v>189</v>
      </c>
      <c r="K16" s="19" t="s">
        <v>678</v>
      </c>
    </row>
    <row r="17" spans="1:12">
      <c r="A17" s="19">
        <v>24</v>
      </c>
      <c r="B17" s="19" t="s">
        <v>36</v>
      </c>
      <c r="C17" s="19" t="s">
        <v>38</v>
      </c>
      <c r="D17" s="19" t="s">
        <v>39</v>
      </c>
      <c r="E17" s="19" t="s">
        <v>40</v>
      </c>
      <c r="F17" s="19" t="str">
        <f t="shared" si="0"/>
        <v>datapoint</v>
      </c>
      <c r="G17" s="65" t="s">
        <v>51</v>
      </c>
      <c r="I17" s="19" t="s">
        <v>190</v>
      </c>
      <c r="K17" s="19" t="s">
        <v>678</v>
      </c>
    </row>
    <row r="18" spans="1:12">
      <c r="A18" s="19">
        <v>24</v>
      </c>
      <c r="B18" s="19" t="s">
        <v>36</v>
      </c>
      <c r="C18" s="19" t="s">
        <v>38</v>
      </c>
      <c r="D18" s="19" t="s">
        <v>39</v>
      </c>
      <c r="E18" s="19" t="s">
        <v>40</v>
      </c>
      <c r="F18" s="19" t="str">
        <f t="shared" si="0"/>
        <v>datapoint</v>
      </c>
      <c r="G18" s="65" t="s">
        <v>52</v>
      </c>
      <c r="I18" s="19" t="s">
        <v>190</v>
      </c>
      <c r="K18" s="19" t="s">
        <v>678</v>
      </c>
    </row>
    <row r="19" spans="1:12">
      <c r="A19" s="19">
        <v>24</v>
      </c>
      <c r="B19" s="19" t="s">
        <v>36</v>
      </c>
      <c r="C19" s="19" t="s">
        <v>38</v>
      </c>
      <c r="D19" s="19" t="s">
        <v>39</v>
      </c>
      <c r="E19" s="19" t="s">
        <v>40</v>
      </c>
      <c r="F19" s="19" t="str">
        <f t="shared" si="0"/>
        <v>datapoint</v>
      </c>
      <c r="G19" s="65" t="s">
        <v>53</v>
      </c>
      <c r="I19" s="19" t="s">
        <v>191</v>
      </c>
      <c r="K19" s="19" t="s">
        <v>675</v>
      </c>
    </row>
    <row r="20" spans="1:12" ht="43.2">
      <c r="A20" s="19">
        <v>24</v>
      </c>
      <c r="B20" s="19" t="s">
        <v>36</v>
      </c>
      <c r="C20" s="19" t="s">
        <v>38</v>
      </c>
      <c r="D20" s="19" t="s">
        <v>39</v>
      </c>
      <c r="E20" s="19" t="s">
        <v>40</v>
      </c>
      <c r="F20" s="19" t="str">
        <f t="shared" si="0"/>
        <v>datapoint</v>
      </c>
      <c r="G20" s="65" t="s">
        <v>54</v>
      </c>
      <c r="I20" s="19" t="s">
        <v>189</v>
      </c>
      <c r="K20" s="19" t="s">
        <v>730</v>
      </c>
      <c r="L20" s="19" t="s">
        <v>792</v>
      </c>
    </row>
    <row r="21" spans="1:12" ht="43.2">
      <c r="A21" s="19">
        <v>24</v>
      </c>
      <c r="B21" s="19" t="s">
        <v>36</v>
      </c>
      <c r="C21" s="19" t="s">
        <v>38</v>
      </c>
      <c r="D21" s="19" t="s">
        <v>39</v>
      </c>
      <c r="E21" s="19" t="s">
        <v>40</v>
      </c>
      <c r="F21" s="19" t="str">
        <f t="shared" si="0"/>
        <v>datapoint</v>
      </c>
      <c r="G21" s="65" t="s">
        <v>55</v>
      </c>
      <c r="I21" s="19" t="s">
        <v>189</v>
      </c>
      <c r="K21" s="19" t="s">
        <v>730</v>
      </c>
      <c r="L21" s="19" t="s">
        <v>792</v>
      </c>
    </row>
    <row r="22" spans="1:12" ht="40.200000000000003">
      <c r="A22" s="19">
        <v>25</v>
      </c>
      <c r="B22" s="19" t="s">
        <v>36</v>
      </c>
      <c r="C22" s="19" t="s">
        <v>38</v>
      </c>
      <c r="D22" s="19" t="s">
        <v>39</v>
      </c>
      <c r="E22" s="19" t="s">
        <v>40</v>
      </c>
      <c r="F22" s="19" t="str">
        <f t="shared" si="0"/>
        <v>datapoint</v>
      </c>
      <c r="G22" s="65" t="s">
        <v>680</v>
      </c>
      <c r="I22" s="19" t="s">
        <v>187</v>
      </c>
      <c r="K22" s="19" t="s">
        <v>793</v>
      </c>
    </row>
    <row r="23" spans="1:12" ht="40.200000000000003">
      <c r="A23" s="19">
        <v>68</v>
      </c>
      <c r="B23" s="19" t="s">
        <v>36</v>
      </c>
      <c r="C23" s="19" t="s">
        <v>38</v>
      </c>
      <c r="D23" s="19" t="s">
        <v>192</v>
      </c>
      <c r="E23" s="19" t="s">
        <v>40</v>
      </c>
      <c r="F23" s="19" t="str">
        <f>IF(VALUE(A23)&gt;66,"guidance","datapoint")</f>
        <v>guidance</v>
      </c>
      <c r="G23" s="65" t="s">
        <v>195</v>
      </c>
      <c r="K23" s="95"/>
    </row>
    <row r="24" spans="1:12">
      <c r="A24" s="19">
        <v>68</v>
      </c>
      <c r="B24" s="19" t="s">
        <v>36</v>
      </c>
      <c r="C24" s="19" t="s">
        <v>38</v>
      </c>
      <c r="D24" s="19" t="s">
        <v>192</v>
      </c>
      <c r="E24" s="19" t="s">
        <v>40</v>
      </c>
      <c r="F24" s="19" t="str">
        <f t="shared" si="0"/>
        <v>guidance</v>
      </c>
      <c r="G24" s="65" t="s">
        <v>196</v>
      </c>
      <c r="K24" s="95"/>
    </row>
    <row r="25" spans="1:12">
      <c r="A25" s="19">
        <v>68</v>
      </c>
      <c r="B25" s="19" t="s">
        <v>36</v>
      </c>
      <c r="C25" s="19" t="s">
        <v>38</v>
      </c>
      <c r="D25" s="19" t="s">
        <v>192</v>
      </c>
      <c r="E25" s="19" t="s">
        <v>40</v>
      </c>
      <c r="F25" s="19" t="str">
        <f t="shared" si="0"/>
        <v>guidance</v>
      </c>
      <c r="G25" s="65" t="s">
        <v>197</v>
      </c>
      <c r="K25" s="95"/>
    </row>
    <row r="26" spans="1:12">
      <c r="A26" s="19">
        <v>68</v>
      </c>
      <c r="B26" s="19" t="s">
        <v>36</v>
      </c>
      <c r="C26" s="19" t="s">
        <v>38</v>
      </c>
      <c r="D26" s="19" t="s">
        <v>192</v>
      </c>
      <c r="E26" s="19" t="s">
        <v>40</v>
      </c>
      <c r="F26" s="19" t="str">
        <f t="shared" si="0"/>
        <v>guidance</v>
      </c>
      <c r="G26" s="65" t="s">
        <v>198</v>
      </c>
      <c r="K26" s="95"/>
    </row>
    <row r="27" spans="1:12">
      <c r="A27" s="19">
        <v>68</v>
      </c>
      <c r="B27" s="19" t="s">
        <v>36</v>
      </c>
      <c r="C27" s="19" t="s">
        <v>38</v>
      </c>
      <c r="D27" s="19" t="s">
        <v>192</v>
      </c>
      <c r="E27" s="19" t="s">
        <v>40</v>
      </c>
      <c r="F27" s="19" t="str">
        <f t="shared" si="0"/>
        <v>guidance</v>
      </c>
      <c r="G27" s="65" t="s">
        <v>199</v>
      </c>
      <c r="K27" s="95"/>
    </row>
    <row r="28" spans="1:12">
      <c r="A28" s="19">
        <v>68</v>
      </c>
      <c r="B28" s="19" t="s">
        <v>36</v>
      </c>
      <c r="C28" s="19" t="s">
        <v>38</v>
      </c>
      <c r="D28" s="19" t="s">
        <v>192</v>
      </c>
      <c r="E28" s="19" t="s">
        <v>40</v>
      </c>
      <c r="F28" s="19" t="str">
        <f t="shared" si="0"/>
        <v>guidance</v>
      </c>
      <c r="G28" s="65" t="s">
        <v>200</v>
      </c>
      <c r="K28" s="95"/>
    </row>
    <row r="29" spans="1:12" ht="79.8">
      <c r="A29" s="19">
        <v>69</v>
      </c>
      <c r="B29" s="19" t="s">
        <v>214</v>
      </c>
      <c r="C29" s="19" t="s">
        <v>38</v>
      </c>
      <c r="D29" s="19" t="s">
        <v>192</v>
      </c>
      <c r="E29" s="19" t="s">
        <v>40</v>
      </c>
      <c r="F29" s="19" t="str">
        <f t="shared" si="0"/>
        <v>guidance</v>
      </c>
      <c r="G29" s="65" t="s">
        <v>201</v>
      </c>
    </row>
    <row r="30" spans="1:12" ht="53.4">
      <c r="A30" s="19">
        <v>70</v>
      </c>
      <c r="B30" s="19" t="s">
        <v>214</v>
      </c>
      <c r="C30" s="19" t="s">
        <v>38</v>
      </c>
      <c r="D30" s="19" t="s">
        <v>192</v>
      </c>
      <c r="E30" s="19" t="s">
        <v>40</v>
      </c>
      <c r="F30" s="19" t="str">
        <f t="shared" si="0"/>
        <v>guidance</v>
      </c>
      <c r="G30" s="65" t="s">
        <v>202</v>
      </c>
      <c r="H30" s="19" t="s">
        <v>203</v>
      </c>
    </row>
    <row r="31" spans="1:12" ht="27">
      <c r="A31" s="19">
        <v>71</v>
      </c>
      <c r="B31" s="19" t="s">
        <v>214</v>
      </c>
      <c r="C31" s="19" t="s">
        <v>38</v>
      </c>
      <c r="D31" s="19" t="s">
        <v>192</v>
      </c>
      <c r="E31" s="19" t="s">
        <v>40</v>
      </c>
      <c r="F31" s="19" t="str">
        <f t="shared" si="0"/>
        <v>guidance</v>
      </c>
      <c r="G31" s="65" t="s">
        <v>349</v>
      </c>
    </row>
    <row r="32" spans="1:12" ht="40.200000000000003">
      <c r="A32" s="19">
        <v>71</v>
      </c>
      <c r="B32" s="19" t="s">
        <v>214</v>
      </c>
      <c r="C32" s="19" t="s">
        <v>38</v>
      </c>
      <c r="D32" s="19" t="s">
        <v>192</v>
      </c>
      <c r="E32" s="19" t="s">
        <v>40</v>
      </c>
      <c r="F32" s="19" t="str">
        <f t="shared" si="0"/>
        <v>guidance</v>
      </c>
      <c r="G32" s="65" t="s">
        <v>347</v>
      </c>
    </row>
    <row r="33" spans="1:11" ht="27">
      <c r="A33" s="19">
        <v>71</v>
      </c>
      <c r="B33" s="19" t="s">
        <v>214</v>
      </c>
      <c r="C33" s="19" t="s">
        <v>38</v>
      </c>
      <c r="D33" s="19" t="s">
        <v>192</v>
      </c>
      <c r="E33" s="19" t="s">
        <v>40</v>
      </c>
      <c r="F33" s="19" t="str">
        <f t="shared" si="0"/>
        <v>guidance</v>
      </c>
      <c r="G33" s="65" t="s">
        <v>348</v>
      </c>
    </row>
    <row r="34" spans="1:11" ht="27">
      <c r="A34" s="19">
        <v>72</v>
      </c>
      <c r="B34" s="19" t="s">
        <v>214</v>
      </c>
      <c r="C34" s="19" t="s">
        <v>38</v>
      </c>
      <c r="D34" s="19" t="s">
        <v>192</v>
      </c>
      <c r="E34" s="19" t="s">
        <v>40</v>
      </c>
      <c r="F34" s="19" t="str">
        <f t="shared" si="0"/>
        <v>guidance</v>
      </c>
      <c r="G34" s="65" t="s">
        <v>208</v>
      </c>
    </row>
    <row r="35" spans="1:11" ht="40.200000000000003">
      <c r="A35" s="19">
        <v>73</v>
      </c>
      <c r="B35" s="19" t="s">
        <v>214</v>
      </c>
      <c r="C35" s="19" t="s">
        <v>38</v>
      </c>
      <c r="D35" s="19" t="s">
        <v>192</v>
      </c>
      <c r="E35" s="19" t="s">
        <v>40</v>
      </c>
      <c r="F35" s="19" t="str">
        <f t="shared" si="0"/>
        <v>guidance</v>
      </c>
      <c r="G35" s="65" t="s">
        <v>262</v>
      </c>
      <c r="H35" s="19" t="s">
        <v>203</v>
      </c>
    </row>
    <row r="36" spans="1:11" ht="53.4">
      <c r="A36" s="19">
        <v>74</v>
      </c>
      <c r="B36" s="19" t="s">
        <v>214</v>
      </c>
      <c r="C36" s="19" t="s">
        <v>38</v>
      </c>
      <c r="D36" s="19" t="s">
        <v>192</v>
      </c>
      <c r="E36" s="19" t="s">
        <v>40</v>
      </c>
      <c r="F36" s="19" t="str">
        <f t="shared" si="0"/>
        <v>guidance</v>
      </c>
      <c r="G36" s="65" t="s">
        <v>261</v>
      </c>
    </row>
    <row r="37" spans="1:11" ht="66.599999999999994">
      <c r="A37" s="19">
        <v>75</v>
      </c>
      <c r="B37" s="19" t="s">
        <v>214</v>
      </c>
      <c r="C37" s="19" t="s">
        <v>38</v>
      </c>
      <c r="D37" s="19" t="s">
        <v>192</v>
      </c>
      <c r="E37" s="19" t="s">
        <v>40</v>
      </c>
      <c r="F37" s="19" t="str">
        <f t="shared" si="0"/>
        <v>guidance</v>
      </c>
      <c r="G37" s="65" t="s">
        <v>263</v>
      </c>
    </row>
    <row r="38" spans="1:11" ht="79.8">
      <c r="A38" s="19">
        <v>76</v>
      </c>
      <c r="B38" s="19" t="s">
        <v>214</v>
      </c>
      <c r="C38" s="19" t="s">
        <v>38</v>
      </c>
      <c r="D38" s="19" t="s">
        <v>192</v>
      </c>
      <c r="E38" s="19" t="s">
        <v>40</v>
      </c>
      <c r="F38" s="19" t="str">
        <f t="shared" si="0"/>
        <v>guidance</v>
      </c>
      <c r="G38" s="65" t="s">
        <v>264</v>
      </c>
    </row>
    <row r="39" spans="1:11" ht="93">
      <c r="A39" s="19">
        <v>77</v>
      </c>
      <c r="B39" s="19" t="s">
        <v>214</v>
      </c>
      <c r="C39" s="19" t="s">
        <v>38</v>
      </c>
      <c r="D39" s="19" t="s">
        <v>192</v>
      </c>
      <c r="E39" s="19" t="s">
        <v>40</v>
      </c>
      <c r="F39" s="19" t="str">
        <f t="shared" si="0"/>
        <v>guidance</v>
      </c>
      <c r="G39" s="65" t="s">
        <v>265</v>
      </c>
    </row>
    <row r="40" spans="1:11" ht="66.599999999999994">
      <c r="A40" s="19">
        <v>26</v>
      </c>
      <c r="B40" s="19" t="s">
        <v>36</v>
      </c>
      <c r="C40" s="19" t="s">
        <v>38</v>
      </c>
      <c r="D40" s="19" t="s">
        <v>56</v>
      </c>
      <c r="E40" s="65" t="s">
        <v>57</v>
      </c>
      <c r="F40" s="19" t="str">
        <f t="shared" si="0"/>
        <v>datapoint</v>
      </c>
      <c r="G40" s="65" t="s">
        <v>58</v>
      </c>
      <c r="H40" s="19" t="s">
        <v>74</v>
      </c>
      <c r="I40" s="19" t="s">
        <v>187</v>
      </c>
      <c r="K40" s="19" t="s">
        <v>674</v>
      </c>
    </row>
    <row r="41" spans="1:11" ht="79.8">
      <c r="A41" s="19">
        <v>26</v>
      </c>
      <c r="B41" s="19" t="s">
        <v>36</v>
      </c>
      <c r="C41" s="19" t="s">
        <v>38</v>
      </c>
      <c r="D41" s="19" t="s">
        <v>56</v>
      </c>
      <c r="E41" s="65" t="s">
        <v>57</v>
      </c>
      <c r="F41" s="19" t="str">
        <f t="shared" si="0"/>
        <v>datapoint</v>
      </c>
      <c r="G41" s="65" t="s">
        <v>59</v>
      </c>
      <c r="I41" s="19" t="s">
        <v>187</v>
      </c>
      <c r="K41" s="19" t="s">
        <v>797</v>
      </c>
    </row>
    <row r="42" spans="1:11" ht="66.599999999999994">
      <c r="A42" s="19">
        <v>26</v>
      </c>
      <c r="B42" s="19" t="s">
        <v>36</v>
      </c>
      <c r="C42" s="19" t="s">
        <v>38</v>
      </c>
      <c r="D42" s="19" t="s">
        <v>56</v>
      </c>
      <c r="E42" s="65" t="s">
        <v>57</v>
      </c>
      <c r="F42" s="19" t="str">
        <f t="shared" si="0"/>
        <v>datapoint</v>
      </c>
      <c r="G42" s="65" t="s">
        <v>60</v>
      </c>
      <c r="I42" s="19" t="s">
        <v>187</v>
      </c>
      <c r="K42" s="19" t="s">
        <v>798</v>
      </c>
    </row>
    <row r="43" spans="1:11" ht="66.599999999999994">
      <c r="A43" s="19">
        <v>26</v>
      </c>
      <c r="B43" s="19" t="s">
        <v>36</v>
      </c>
      <c r="C43" s="19" t="s">
        <v>38</v>
      </c>
      <c r="D43" s="19" t="s">
        <v>56</v>
      </c>
      <c r="E43" s="65" t="s">
        <v>57</v>
      </c>
      <c r="F43" s="19" t="str">
        <f t="shared" si="0"/>
        <v>datapoint</v>
      </c>
      <c r="G43" s="65" t="s">
        <v>61</v>
      </c>
      <c r="I43" s="19" t="s">
        <v>187</v>
      </c>
      <c r="K43" s="19" t="s">
        <v>787</v>
      </c>
    </row>
    <row r="44" spans="1:11" ht="66.599999999999994">
      <c r="A44" s="19">
        <v>26</v>
      </c>
      <c r="B44" s="19" t="s">
        <v>36</v>
      </c>
      <c r="C44" s="19" t="s">
        <v>38</v>
      </c>
      <c r="D44" s="19" t="s">
        <v>56</v>
      </c>
      <c r="E44" s="65" t="s">
        <v>57</v>
      </c>
      <c r="F44" s="19" t="str">
        <f t="shared" si="0"/>
        <v>datapoint</v>
      </c>
      <c r="G44" s="65" t="s">
        <v>62</v>
      </c>
      <c r="I44" s="19" t="s">
        <v>187</v>
      </c>
      <c r="K44" s="19" t="s">
        <v>787</v>
      </c>
    </row>
    <row r="45" spans="1:11" ht="79.2">
      <c r="A45" s="19">
        <v>27</v>
      </c>
      <c r="B45" s="19" t="s">
        <v>36</v>
      </c>
      <c r="C45" s="19" t="s">
        <v>38</v>
      </c>
      <c r="D45" s="19" t="s">
        <v>56</v>
      </c>
      <c r="E45" s="65" t="s">
        <v>57</v>
      </c>
      <c r="F45" s="19" t="str">
        <f t="shared" si="0"/>
        <v>datapoint</v>
      </c>
      <c r="G45" s="74" t="s">
        <v>794</v>
      </c>
      <c r="I45" s="19" t="s">
        <v>187</v>
      </c>
      <c r="K45" s="19" t="s">
        <v>787</v>
      </c>
    </row>
    <row r="46" spans="1:11" ht="66.599999999999994">
      <c r="A46" s="19">
        <v>28</v>
      </c>
      <c r="B46" s="19" t="s">
        <v>36</v>
      </c>
      <c r="C46" s="19" t="s">
        <v>38</v>
      </c>
      <c r="D46" s="19" t="s">
        <v>56</v>
      </c>
      <c r="E46" s="65" t="s">
        <v>57</v>
      </c>
      <c r="F46" s="19" t="s">
        <v>795</v>
      </c>
      <c r="G46" s="65" t="s">
        <v>63</v>
      </c>
    </row>
    <row r="47" spans="1:11" ht="66.599999999999994">
      <c r="A47" s="19">
        <v>78</v>
      </c>
      <c r="B47" s="19" t="s">
        <v>36</v>
      </c>
      <c r="C47" s="19" t="s">
        <v>38</v>
      </c>
      <c r="D47" s="19" t="s">
        <v>56</v>
      </c>
      <c r="E47" s="65" t="s">
        <v>57</v>
      </c>
      <c r="F47" s="19" t="str">
        <f t="shared" si="0"/>
        <v>guidance</v>
      </c>
      <c r="G47" s="65" t="s">
        <v>209</v>
      </c>
      <c r="H47" s="19" t="s">
        <v>203</v>
      </c>
    </row>
    <row r="48" spans="1:11" ht="172.8">
      <c r="A48" s="19">
        <v>79</v>
      </c>
      <c r="B48" s="19" t="s">
        <v>36</v>
      </c>
      <c r="C48" s="19" t="s">
        <v>38</v>
      </c>
      <c r="D48" s="19" t="s">
        <v>56</v>
      </c>
      <c r="E48" s="65" t="s">
        <v>57</v>
      </c>
      <c r="F48" s="19" t="str">
        <f t="shared" si="0"/>
        <v>guidance</v>
      </c>
      <c r="G48" s="65" t="s">
        <v>210</v>
      </c>
      <c r="H48" s="19" t="s">
        <v>212</v>
      </c>
    </row>
    <row r="49" spans="1:11" ht="66.599999999999994">
      <c r="A49" s="19">
        <v>79</v>
      </c>
      <c r="B49" s="19" t="s">
        <v>36</v>
      </c>
      <c r="C49" s="19" t="s">
        <v>38</v>
      </c>
      <c r="D49" s="19" t="s">
        <v>56</v>
      </c>
      <c r="E49" s="65" t="s">
        <v>57</v>
      </c>
      <c r="F49" s="19" t="str">
        <f t="shared" si="0"/>
        <v>guidance</v>
      </c>
      <c r="G49" s="65" t="s">
        <v>211</v>
      </c>
      <c r="K49" s="18"/>
    </row>
    <row r="50" spans="1:11" ht="66.599999999999994">
      <c r="A50" s="19">
        <v>79</v>
      </c>
      <c r="B50" s="19" t="s">
        <v>36</v>
      </c>
      <c r="C50" s="19" t="s">
        <v>38</v>
      </c>
      <c r="D50" s="19" t="s">
        <v>56</v>
      </c>
      <c r="E50" s="65" t="s">
        <v>57</v>
      </c>
      <c r="F50" s="19" t="str">
        <f t="shared" si="0"/>
        <v>guidance</v>
      </c>
      <c r="G50" s="65" t="s">
        <v>266</v>
      </c>
    </row>
    <row r="51" spans="1:11" ht="66.599999999999994">
      <c r="A51" s="19">
        <v>79</v>
      </c>
      <c r="B51" s="19" t="s">
        <v>36</v>
      </c>
      <c r="C51" s="19" t="s">
        <v>38</v>
      </c>
      <c r="D51" s="19" t="s">
        <v>56</v>
      </c>
      <c r="E51" s="65" t="s">
        <v>57</v>
      </c>
      <c r="F51" s="19" t="str">
        <f t="shared" si="0"/>
        <v>guidance</v>
      </c>
      <c r="G51" s="65" t="s">
        <v>267</v>
      </c>
    </row>
    <row r="52" spans="1:11" ht="93">
      <c r="A52" s="19">
        <v>80</v>
      </c>
      <c r="B52" s="19" t="s">
        <v>36</v>
      </c>
      <c r="C52" s="19" t="s">
        <v>38</v>
      </c>
      <c r="D52" s="19" t="s">
        <v>56</v>
      </c>
      <c r="E52" s="65" t="s">
        <v>57</v>
      </c>
      <c r="F52" s="19" t="str">
        <f t="shared" si="0"/>
        <v>guidance</v>
      </c>
      <c r="G52" s="65" t="s">
        <v>268</v>
      </c>
      <c r="H52" s="19" t="s">
        <v>213</v>
      </c>
    </row>
    <row r="53" spans="1:11" ht="40.200000000000003">
      <c r="A53" s="19">
        <v>29</v>
      </c>
      <c r="B53" s="19" t="s">
        <v>36</v>
      </c>
      <c r="C53" s="19" t="s">
        <v>69</v>
      </c>
      <c r="D53" s="19" t="s">
        <v>71</v>
      </c>
      <c r="E53" s="65" t="s">
        <v>72</v>
      </c>
      <c r="F53" s="19" t="str">
        <f t="shared" si="0"/>
        <v>datapoint</v>
      </c>
      <c r="G53" s="65" t="s">
        <v>70</v>
      </c>
      <c r="H53" s="19" t="s">
        <v>73</v>
      </c>
      <c r="I53" s="19" t="s">
        <v>191</v>
      </c>
      <c r="K53" s="19" t="s">
        <v>804</v>
      </c>
    </row>
    <row r="54" spans="1:11" ht="40.200000000000003">
      <c r="A54" s="19" t="s">
        <v>4</v>
      </c>
      <c r="B54" s="19" t="s">
        <v>36</v>
      </c>
      <c r="C54" s="19" t="s">
        <v>69</v>
      </c>
      <c r="D54" s="19" t="s">
        <v>71</v>
      </c>
      <c r="E54" s="65" t="s">
        <v>72</v>
      </c>
      <c r="F54" s="19" t="str">
        <f t="shared" si="0"/>
        <v>datapoint</v>
      </c>
      <c r="G54" s="65" t="s">
        <v>75</v>
      </c>
      <c r="H54" s="19" t="s">
        <v>74</v>
      </c>
      <c r="I54" s="19" t="s">
        <v>191</v>
      </c>
      <c r="K54" s="19" t="s">
        <v>808</v>
      </c>
    </row>
    <row r="55" spans="1:11" ht="27">
      <c r="A55" s="19" t="s">
        <v>4</v>
      </c>
      <c r="B55" s="19" t="s">
        <v>36</v>
      </c>
      <c r="C55" s="19" t="s">
        <v>69</v>
      </c>
      <c r="D55" s="19" t="s">
        <v>71</v>
      </c>
      <c r="E55" s="65" t="s">
        <v>72</v>
      </c>
      <c r="F55" s="19" t="str">
        <f t="shared" si="0"/>
        <v>datapoint</v>
      </c>
      <c r="G55" s="67" t="s">
        <v>76</v>
      </c>
      <c r="I55" s="19" t="s">
        <v>191</v>
      </c>
      <c r="K55" s="19" t="s">
        <v>808</v>
      </c>
    </row>
    <row r="56" spans="1:11" ht="27">
      <c r="A56" s="19" t="s">
        <v>4</v>
      </c>
      <c r="B56" s="19" t="s">
        <v>36</v>
      </c>
      <c r="C56" s="19" t="s">
        <v>69</v>
      </c>
      <c r="D56" s="19" t="s">
        <v>71</v>
      </c>
      <c r="E56" s="65" t="s">
        <v>72</v>
      </c>
      <c r="F56" s="19" t="str">
        <f t="shared" si="0"/>
        <v>datapoint</v>
      </c>
      <c r="G56" s="65" t="s">
        <v>77</v>
      </c>
      <c r="I56" s="19" t="s">
        <v>191</v>
      </c>
      <c r="K56" s="19" t="s">
        <v>808</v>
      </c>
    </row>
    <row r="57" spans="1:11" ht="40.200000000000003">
      <c r="A57" s="19" t="s">
        <v>5</v>
      </c>
      <c r="B57" s="19" t="s">
        <v>36</v>
      </c>
      <c r="C57" s="19" t="s">
        <v>69</v>
      </c>
      <c r="D57" s="19" t="s">
        <v>71</v>
      </c>
      <c r="E57" s="65" t="s">
        <v>72</v>
      </c>
      <c r="F57" s="19" t="str">
        <f t="shared" si="0"/>
        <v>datapoint</v>
      </c>
      <c r="G57" s="65" t="s">
        <v>79</v>
      </c>
      <c r="I57" s="19" t="s">
        <v>191</v>
      </c>
      <c r="K57" s="19" t="s">
        <v>808</v>
      </c>
    </row>
    <row r="58" spans="1:11" ht="79.8">
      <c r="A58" s="19">
        <v>81</v>
      </c>
      <c r="B58" s="19" t="s">
        <v>36</v>
      </c>
      <c r="C58" s="19" t="s">
        <v>69</v>
      </c>
      <c r="D58" s="19" t="s">
        <v>71</v>
      </c>
      <c r="E58" s="65" t="s">
        <v>72</v>
      </c>
      <c r="F58" s="19" t="str">
        <f t="shared" si="0"/>
        <v>guidance</v>
      </c>
      <c r="G58" s="65" t="s">
        <v>269</v>
      </c>
    </row>
    <row r="59" spans="1:11" ht="93">
      <c r="A59" s="19">
        <v>82</v>
      </c>
      <c r="B59" s="19" t="s">
        <v>36</v>
      </c>
      <c r="C59" s="19" t="s">
        <v>69</v>
      </c>
      <c r="D59" s="19" t="s">
        <v>71</v>
      </c>
      <c r="E59" s="65" t="s">
        <v>72</v>
      </c>
      <c r="F59" s="19" t="str">
        <f t="shared" si="0"/>
        <v>guidance</v>
      </c>
      <c r="G59" s="65" t="s">
        <v>215</v>
      </c>
      <c r="H59" s="19" t="s">
        <v>203</v>
      </c>
    </row>
    <row r="60" spans="1:11" ht="132.6">
      <c r="A60" s="19">
        <v>83</v>
      </c>
      <c r="B60" s="19" t="s">
        <v>36</v>
      </c>
      <c r="C60" s="19" t="s">
        <v>69</v>
      </c>
      <c r="D60" s="19" t="s">
        <v>71</v>
      </c>
      <c r="E60" s="65" t="s">
        <v>72</v>
      </c>
      <c r="F60" s="19" t="str">
        <f t="shared" si="0"/>
        <v>guidance</v>
      </c>
      <c r="G60" s="65" t="s">
        <v>270</v>
      </c>
    </row>
    <row r="61" spans="1:11" ht="145.80000000000001">
      <c r="A61" s="19">
        <v>84</v>
      </c>
      <c r="B61" s="19" t="s">
        <v>36</v>
      </c>
      <c r="C61" s="19" t="s">
        <v>69</v>
      </c>
      <c r="D61" s="19" t="s">
        <v>71</v>
      </c>
      <c r="E61" s="65" t="s">
        <v>72</v>
      </c>
      <c r="F61" s="19" t="str">
        <f t="shared" si="0"/>
        <v>guidance</v>
      </c>
      <c r="G61" s="65" t="s">
        <v>271</v>
      </c>
      <c r="H61" s="19" t="s">
        <v>216</v>
      </c>
    </row>
    <row r="62" spans="1:11" ht="66.599999999999994">
      <c r="A62" s="19">
        <v>85</v>
      </c>
      <c r="B62" s="19" t="s">
        <v>36</v>
      </c>
      <c r="C62" s="19" t="s">
        <v>69</v>
      </c>
      <c r="D62" s="19" t="s">
        <v>71</v>
      </c>
      <c r="E62" s="65" t="s">
        <v>72</v>
      </c>
      <c r="F62" s="19" t="str">
        <f t="shared" si="0"/>
        <v>guidance</v>
      </c>
      <c r="G62" s="65" t="s">
        <v>272</v>
      </c>
    </row>
    <row r="63" spans="1:11" ht="79.8">
      <c r="A63" s="19">
        <v>86</v>
      </c>
      <c r="B63" s="19" t="s">
        <v>36</v>
      </c>
      <c r="C63" s="19" t="s">
        <v>69</v>
      </c>
      <c r="D63" s="19" t="s">
        <v>71</v>
      </c>
      <c r="E63" s="65" t="s">
        <v>72</v>
      </c>
      <c r="F63" s="19" t="str">
        <f t="shared" si="0"/>
        <v>guidance</v>
      </c>
      <c r="G63" s="65" t="s">
        <v>273</v>
      </c>
    </row>
    <row r="64" spans="1:11" ht="53.4">
      <c r="A64" s="19">
        <v>87</v>
      </c>
      <c r="B64" s="19" t="s">
        <v>36</v>
      </c>
      <c r="C64" s="19" t="s">
        <v>69</v>
      </c>
      <c r="D64" s="19" t="s">
        <v>71</v>
      </c>
      <c r="E64" s="65" t="s">
        <v>72</v>
      </c>
      <c r="F64" s="19" t="str">
        <f t="shared" si="0"/>
        <v>guidance</v>
      </c>
      <c r="G64" s="65" t="s">
        <v>274</v>
      </c>
    </row>
    <row r="65" spans="1:8" ht="27">
      <c r="A65" s="19">
        <v>88</v>
      </c>
      <c r="B65" s="19" t="s">
        <v>36</v>
      </c>
      <c r="C65" s="19" t="s">
        <v>69</v>
      </c>
      <c r="D65" s="19" t="s">
        <v>71</v>
      </c>
      <c r="E65" s="65" t="s">
        <v>72</v>
      </c>
      <c r="F65" s="19" t="str">
        <f t="shared" si="0"/>
        <v>guidance</v>
      </c>
      <c r="G65" s="65" t="s">
        <v>217</v>
      </c>
    </row>
    <row r="66" spans="1:8" ht="40.200000000000003">
      <c r="A66" s="19">
        <v>88</v>
      </c>
      <c r="B66" s="19" t="s">
        <v>36</v>
      </c>
      <c r="C66" s="19" t="s">
        <v>69</v>
      </c>
      <c r="D66" s="19" t="s">
        <v>71</v>
      </c>
      <c r="E66" s="65" t="s">
        <v>72</v>
      </c>
      <c r="F66" s="19" t="str">
        <f t="shared" si="0"/>
        <v>guidance</v>
      </c>
      <c r="G66" s="65" t="s">
        <v>275</v>
      </c>
    </row>
    <row r="67" spans="1:8" ht="40.200000000000003">
      <c r="A67" s="19">
        <v>88</v>
      </c>
      <c r="B67" s="19" t="s">
        <v>36</v>
      </c>
      <c r="C67" s="19" t="s">
        <v>69</v>
      </c>
      <c r="D67" s="19" t="s">
        <v>71</v>
      </c>
      <c r="E67" s="65" t="s">
        <v>72</v>
      </c>
      <c r="F67" s="19" t="str">
        <f t="shared" ref="F67:F130" si="1">IF(VALUE(A67)&gt;66,"guidance","datapoint")</f>
        <v>guidance</v>
      </c>
      <c r="G67" s="65" t="s">
        <v>218</v>
      </c>
    </row>
    <row r="68" spans="1:8" ht="27">
      <c r="A68" s="19">
        <v>88</v>
      </c>
      <c r="B68" s="19" t="s">
        <v>36</v>
      </c>
      <c r="C68" s="19" t="s">
        <v>69</v>
      </c>
      <c r="D68" s="19" t="s">
        <v>71</v>
      </c>
      <c r="E68" s="65" t="s">
        <v>72</v>
      </c>
      <c r="F68" s="19" t="str">
        <f t="shared" si="1"/>
        <v>guidance</v>
      </c>
      <c r="G68" s="65" t="s">
        <v>219</v>
      </c>
    </row>
    <row r="69" spans="1:8" ht="27">
      <c r="A69" s="19">
        <v>89</v>
      </c>
      <c r="B69" s="19" t="s">
        <v>36</v>
      </c>
      <c r="C69" s="19" t="s">
        <v>69</v>
      </c>
      <c r="D69" s="19" t="s">
        <v>71</v>
      </c>
      <c r="E69" s="65" t="s">
        <v>72</v>
      </c>
      <c r="F69" s="19" t="str">
        <f t="shared" si="1"/>
        <v>guidance</v>
      </c>
      <c r="G69" s="65" t="s">
        <v>220</v>
      </c>
    </row>
    <row r="70" spans="1:8" ht="53.4">
      <c r="A70" s="19">
        <v>89</v>
      </c>
      <c r="B70" s="19" t="s">
        <v>36</v>
      </c>
      <c r="C70" s="19" t="s">
        <v>69</v>
      </c>
      <c r="D70" s="19" t="s">
        <v>71</v>
      </c>
      <c r="E70" s="65" t="s">
        <v>72</v>
      </c>
      <c r="F70" s="19" t="str">
        <f t="shared" si="1"/>
        <v>guidance</v>
      </c>
      <c r="G70" s="65" t="s">
        <v>221</v>
      </c>
    </row>
    <row r="71" spans="1:8" ht="27">
      <c r="A71" s="19">
        <v>89</v>
      </c>
      <c r="B71" s="19" t="s">
        <v>36</v>
      </c>
      <c r="C71" s="19" t="s">
        <v>69</v>
      </c>
      <c r="D71" s="19" t="s">
        <v>71</v>
      </c>
      <c r="E71" s="65" t="s">
        <v>72</v>
      </c>
      <c r="F71" s="19" t="str">
        <f t="shared" si="1"/>
        <v>guidance</v>
      </c>
      <c r="G71" s="65" t="s">
        <v>276</v>
      </c>
    </row>
    <row r="72" spans="1:8" ht="27">
      <c r="A72" s="19">
        <v>89</v>
      </c>
      <c r="B72" s="19" t="s">
        <v>36</v>
      </c>
      <c r="C72" s="19" t="s">
        <v>69</v>
      </c>
      <c r="D72" s="19" t="s">
        <v>71</v>
      </c>
      <c r="E72" s="65" t="s">
        <v>72</v>
      </c>
      <c r="F72" s="19" t="str">
        <f t="shared" si="1"/>
        <v>guidance</v>
      </c>
      <c r="G72" s="65" t="s">
        <v>222</v>
      </c>
    </row>
    <row r="73" spans="1:8" ht="132.6">
      <c r="A73" s="19">
        <v>90</v>
      </c>
      <c r="B73" s="19" t="s">
        <v>36</v>
      </c>
      <c r="C73" s="19" t="s">
        <v>69</v>
      </c>
      <c r="D73" s="19" t="s">
        <v>71</v>
      </c>
      <c r="E73" s="65" t="s">
        <v>72</v>
      </c>
      <c r="F73" s="19" t="str">
        <f t="shared" si="1"/>
        <v>guidance</v>
      </c>
      <c r="G73" s="65" t="s">
        <v>696</v>
      </c>
    </row>
    <row r="74" spans="1:8" ht="27">
      <c r="A74" s="19">
        <v>91</v>
      </c>
      <c r="B74" s="19" t="s">
        <v>36</v>
      </c>
      <c r="C74" s="19" t="s">
        <v>69</v>
      </c>
      <c r="D74" s="19" t="s">
        <v>71</v>
      </c>
      <c r="E74" s="65" t="s">
        <v>72</v>
      </c>
      <c r="F74" s="19" t="str">
        <f t="shared" si="1"/>
        <v>guidance</v>
      </c>
      <c r="G74" s="65" t="s">
        <v>223</v>
      </c>
      <c r="H74" s="19" t="s">
        <v>203</v>
      </c>
    </row>
    <row r="75" spans="1:8" ht="53.4">
      <c r="A75" s="19">
        <v>92</v>
      </c>
      <c r="B75" s="19" t="s">
        <v>36</v>
      </c>
      <c r="C75" s="19" t="s">
        <v>69</v>
      </c>
      <c r="D75" s="19" t="s">
        <v>71</v>
      </c>
      <c r="E75" s="65" t="s">
        <v>72</v>
      </c>
      <c r="F75" s="19" t="str">
        <f t="shared" si="1"/>
        <v>guidance</v>
      </c>
      <c r="G75" s="65" t="s">
        <v>277</v>
      </c>
    </row>
    <row r="76" spans="1:8" ht="27">
      <c r="A76" s="19">
        <v>93</v>
      </c>
      <c r="B76" s="19" t="s">
        <v>36</v>
      </c>
      <c r="C76" s="19" t="s">
        <v>69</v>
      </c>
      <c r="D76" s="19" t="s">
        <v>71</v>
      </c>
      <c r="E76" s="65" t="s">
        <v>72</v>
      </c>
      <c r="F76" s="19" t="str">
        <f t="shared" si="1"/>
        <v>guidance</v>
      </c>
      <c r="G76" s="65" t="s">
        <v>224</v>
      </c>
    </row>
    <row r="77" spans="1:8" ht="27">
      <c r="A77" s="19">
        <v>93</v>
      </c>
      <c r="B77" s="19" t="s">
        <v>36</v>
      </c>
      <c r="C77" s="19" t="s">
        <v>69</v>
      </c>
      <c r="D77" s="19" t="s">
        <v>71</v>
      </c>
      <c r="E77" s="65" t="s">
        <v>72</v>
      </c>
      <c r="F77" s="19" t="str">
        <f t="shared" si="1"/>
        <v>guidance</v>
      </c>
      <c r="G77" s="65" t="s">
        <v>225</v>
      </c>
    </row>
    <row r="78" spans="1:8" ht="27">
      <c r="A78" s="19">
        <v>93</v>
      </c>
      <c r="B78" s="19" t="s">
        <v>36</v>
      </c>
      <c r="C78" s="19" t="s">
        <v>69</v>
      </c>
      <c r="D78" s="19" t="s">
        <v>71</v>
      </c>
      <c r="E78" s="65" t="s">
        <v>72</v>
      </c>
      <c r="F78" s="19" t="str">
        <f t="shared" si="1"/>
        <v>guidance</v>
      </c>
      <c r="G78" s="65" t="s">
        <v>278</v>
      </c>
    </row>
    <row r="79" spans="1:8" ht="40.200000000000003">
      <c r="A79" s="19">
        <v>93</v>
      </c>
      <c r="B79" s="19" t="s">
        <v>36</v>
      </c>
      <c r="C79" s="19" t="s">
        <v>69</v>
      </c>
      <c r="D79" s="19" t="s">
        <v>71</v>
      </c>
      <c r="E79" s="65" t="s">
        <v>72</v>
      </c>
      <c r="F79" s="19" t="str">
        <f t="shared" si="1"/>
        <v>guidance</v>
      </c>
      <c r="G79" s="65" t="s">
        <v>226</v>
      </c>
    </row>
    <row r="80" spans="1:8" ht="40.200000000000003">
      <c r="A80" s="19">
        <v>93</v>
      </c>
      <c r="B80" s="19" t="s">
        <v>36</v>
      </c>
      <c r="C80" s="19" t="s">
        <v>69</v>
      </c>
      <c r="D80" s="19" t="s">
        <v>71</v>
      </c>
      <c r="E80" s="65" t="s">
        <v>72</v>
      </c>
      <c r="F80" s="19" t="str">
        <f t="shared" si="1"/>
        <v>guidance</v>
      </c>
      <c r="G80" s="65" t="s">
        <v>227</v>
      </c>
    </row>
    <row r="81" spans="1:8" ht="27">
      <c r="A81" s="19">
        <v>93</v>
      </c>
      <c r="B81" s="19" t="s">
        <v>36</v>
      </c>
      <c r="C81" s="19" t="s">
        <v>69</v>
      </c>
      <c r="D81" s="19" t="s">
        <v>71</v>
      </c>
      <c r="E81" s="65" t="s">
        <v>72</v>
      </c>
      <c r="F81" s="19" t="str">
        <f t="shared" si="1"/>
        <v>guidance</v>
      </c>
      <c r="G81" s="65" t="s">
        <v>279</v>
      </c>
    </row>
    <row r="82" spans="1:8" ht="40.200000000000003">
      <c r="A82" s="19">
        <v>94</v>
      </c>
      <c r="B82" s="19" t="s">
        <v>36</v>
      </c>
      <c r="C82" s="19" t="s">
        <v>69</v>
      </c>
      <c r="D82" s="19" t="s">
        <v>71</v>
      </c>
      <c r="E82" s="65" t="s">
        <v>72</v>
      </c>
      <c r="F82" s="19" t="str">
        <f t="shared" si="1"/>
        <v>guidance</v>
      </c>
      <c r="G82" s="65" t="s">
        <v>228</v>
      </c>
    </row>
    <row r="83" spans="1:8" ht="66.599999999999994">
      <c r="A83" s="19">
        <v>95</v>
      </c>
      <c r="B83" s="19" t="s">
        <v>36</v>
      </c>
      <c r="C83" s="19" t="s">
        <v>69</v>
      </c>
      <c r="D83" s="19" t="s">
        <v>71</v>
      </c>
      <c r="E83" s="65" t="s">
        <v>72</v>
      </c>
      <c r="F83" s="19" t="str">
        <f t="shared" si="1"/>
        <v>guidance</v>
      </c>
      <c r="G83" s="65" t="s">
        <v>229</v>
      </c>
    </row>
    <row r="84" spans="1:8" ht="93">
      <c r="A84" s="19">
        <v>95</v>
      </c>
      <c r="B84" s="19" t="s">
        <v>36</v>
      </c>
      <c r="C84" s="19" t="s">
        <v>69</v>
      </c>
      <c r="D84" s="19" t="s">
        <v>71</v>
      </c>
      <c r="E84" s="65" t="s">
        <v>72</v>
      </c>
      <c r="F84" s="19" t="str">
        <f t="shared" si="1"/>
        <v>guidance</v>
      </c>
      <c r="G84" s="65" t="s">
        <v>260</v>
      </c>
    </row>
    <row r="85" spans="1:8" ht="40.200000000000003">
      <c r="A85" s="19">
        <v>95</v>
      </c>
      <c r="B85" s="19" t="s">
        <v>36</v>
      </c>
      <c r="C85" s="19" t="s">
        <v>69</v>
      </c>
      <c r="D85" s="19" t="s">
        <v>71</v>
      </c>
      <c r="E85" s="65" t="s">
        <v>72</v>
      </c>
      <c r="F85" s="19" t="str">
        <f t="shared" si="1"/>
        <v>guidance</v>
      </c>
      <c r="G85" s="65" t="s">
        <v>230</v>
      </c>
    </row>
    <row r="86" spans="1:8" ht="93">
      <c r="A86" s="19">
        <v>95</v>
      </c>
      <c r="B86" s="19" t="s">
        <v>36</v>
      </c>
      <c r="C86" s="19" t="s">
        <v>69</v>
      </c>
      <c r="D86" s="19" t="s">
        <v>71</v>
      </c>
      <c r="E86" s="65" t="s">
        <v>72</v>
      </c>
      <c r="F86" s="19" t="str">
        <f t="shared" si="1"/>
        <v>guidance</v>
      </c>
      <c r="G86" s="65" t="s">
        <v>231</v>
      </c>
    </row>
    <row r="87" spans="1:8" ht="40.200000000000003">
      <c r="A87" s="19">
        <v>95</v>
      </c>
      <c r="B87" s="19" t="s">
        <v>36</v>
      </c>
      <c r="C87" s="19" t="s">
        <v>69</v>
      </c>
      <c r="D87" s="19" t="s">
        <v>71</v>
      </c>
      <c r="E87" s="65" t="s">
        <v>72</v>
      </c>
      <c r="F87" s="19" t="str">
        <f t="shared" si="1"/>
        <v>guidance</v>
      </c>
      <c r="G87" s="65" t="s">
        <v>233</v>
      </c>
    </row>
    <row r="88" spans="1:8" ht="40.200000000000003">
      <c r="A88" s="19">
        <v>95</v>
      </c>
      <c r="B88" s="19" t="s">
        <v>36</v>
      </c>
      <c r="C88" s="19" t="s">
        <v>69</v>
      </c>
      <c r="D88" s="19" t="s">
        <v>71</v>
      </c>
      <c r="E88" s="65" t="s">
        <v>72</v>
      </c>
      <c r="F88" s="19" t="str">
        <f t="shared" si="1"/>
        <v>guidance</v>
      </c>
      <c r="G88" s="65" t="s">
        <v>232</v>
      </c>
    </row>
    <row r="89" spans="1:8" ht="93">
      <c r="A89" s="19">
        <v>95</v>
      </c>
      <c r="B89" s="19" t="s">
        <v>36</v>
      </c>
      <c r="C89" s="19" t="s">
        <v>69</v>
      </c>
      <c r="D89" s="19" t="s">
        <v>71</v>
      </c>
      <c r="E89" s="65" t="s">
        <v>72</v>
      </c>
      <c r="F89" s="19" t="str">
        <f t="shared" si="1"/>
        <v>guidance</v>
      </c>
      <c r="G89" s="65" t="s">
        <v>259</v>
      </c>
    </row>
    <row r="90" spans="1:8" ht="53.4">
      <c r="A90" s="19">
        <v>95</v>
      </c>
      <c r="B90" s="19" t="s">
        <v>36</v>
      </c>
      <c r="C90" s="19" t="s">
        <v>69</v>
      </c>
      <c r="D90" s="19" t="s">
        <v>71</v>
      </c>
      <c r="E90" s="65" t="s">
        <v>72</v>
      </c>
      <c r="F90" s="19" t="str">
        <f t="shared" si="1"/>
        <v>guidance</v>
      </c>
      <c r="G90" s="65" t="s">
        <v>258</v>
      </c>
      <c r="H90" s="19" t="s">
        <v>216</v>
      </c>
    </row>
    <row r="91" spans="1:8" ht="27">
      <c r="A91" s="19">
        <v>96</v>
      </c>
      <c r="B91" s="19" t="s">
        <v>36</v>
      </c>
      <c r="C91" s="19" t="s">
        <v>69</v>
      </c>
      <c r="D91" s="19" t="s">
        <v>71</v>
      </c>
      <c r="E91" s="65" t="s">
        <v>72</v>
      </c>
      <c r="F91" s="19" t="str">
        <f t="shared" si="1"/>
        <v>guidance</v>
      </c>
      <c r="G91" s="65" t="s">
        <v>257</v>
      </c>
      <c r="H91" s="19" t="s">
        <v>216</v>
      </c>
    </row>
    <row r="92" spans="1:8" ht="53.4">
      <c r="A92" s="19">
        <v>97</v>
      </c>
      <c r="B92" s="19" t="s">
        <v>36</v>
      </c>
      <c r="C92" s="19" t="s">
        <v>69</v>
      </c>
      <c r="D92" s="19" t="s">
        <v>71</v>
      </c>
      <c r="E92" s="65" t="s">
        <v>72</v>
      </c>
      <c r="F92" s="19" t="str">
        <f t="shared" si="1"/>
        <v>guidance</v>
      </c>
      <c r="G92" s="65" t="s">
        <v>234</v>
      </c>
    </row>
    <row r="93" spans="1:8" ht="27">
      <c r="A93" s="19">
        <v>97</v>
      </c>
      <c r="B93" s="19" t="s">
        <v>36</v>
      </c>
      <c r="C93" s="19" t="s">
        <v>69</v>
      </c>
      <c r="D93" s="19" t="s">
        <v>71</v>
      </c>
      <c r="E93" s="65" t="s">
        <v>72</v>
      </c>
      <c r="F93" s="19" t="str">
        <f t="shared" si="1"/>
        <v>guidance</v>
      </c>
      <c r="G93" s="65" t="s">
        <v>235</v>
      </c>
    </row>
    <row r="94" spans="1:8" ht="27">
      <c r="A94" s="19">
        <v>97</v>
      </c>
      <c r="B94" s="19" t="s">
        <v>36</v>
      </c>
      <c r="C94" s="19" t="s">
        <v>69</v>
      </c>
      <c r="D94" s="19" t="s">
        <v>71</v>
      </c>
      <c r="E94" s="65" t="s">
        <v>72</v>
      </c>
      <c r="F94" s="19" t="str">
        <f t="shared" si="1"/>
        <v>guidance</v>
      </c>
      <c r="G94" s="65" t="s">
        <v>236</v>
      </c>
    </row>
    <row r="95" spans="1:8" ht="27">
      <c r="A95" s="19">
        <v>97</v>
      </c>
      <c r="B95" s="19" t="s">
        <v>36</v>
      </c>
      <c r="C95" s="19" t="s">
        <v>69</v>
      </c>
      <c r="D95" s="19" t="s">
        <v>71</v>
      </c>
      <c r="E95" s="65" t="s">
        <v>72</v>
      </c>
      <c r="F95" s="19" t="str">
        <f t="shared" si="1"/>
        <v>guidance</v>
      </c>
      <c r="G95" s="65" t="s">
        <v>237</v>
      </c>
    </row>
    <row r="96" spans="1:8" ht="40.200000000000003">
      <c r="A96" s="19">
        <v>97</v>
      </c>
      <c r="B96" s="19" t="s">
        <v>36</v>
      </c>
      <c r="C96" s="19" t="s">
        <v>69</v>
      </c>
      <c r="D96" s="19" t="s">
        <v>71</v>
      </c>
      <c r="E96" s="65" t="s">
        <v>72</v>
      </c>
      <c r="F96" s="19" t="str">
        <f t="shared" si="1"/>
        <v>guidance</v>
      </c>
      <c r="G96" s="65" t="s">
        <v>238</v>
      </c>
    </row>
    <row r="97" spans="1:8" ht="27">
      <c r="A97" s="19">
        <v>97</v>
      </c>
      <c r="B97" s="19" t="s">
        <v>36</v>
      </c>
      <c r="C97" s="19" t="s">
        <v>69</v>
      </c>
      <c r="D97" s="19" t="s">
        <v>71</v>
      </c>
      <c r="E97" s="65" t="s">
        <v>72</v>
      </c>
      <c r="F97" s="19" t="str">
        <f t="shared" si="1"/>
        <v>guidance</v>
      </c>
      <c r="G97" s="65" t="s">
        <v>239</v>
      </c>
    </row>
    <row r="98" spans="1:8" ht="40.200000000000003">
      <c r="A98" s="19">
        <v>98</v>
      </c>
      <c r="B98" s="19" t="s">
        <v>36</v>
      </c>
      <c r="C98" s="19" t="s">
        <v>69</v>
      </c>
      <c r="D98" s="19" t="s">
        <v>71</v>
      </c>
      <c r="E98" s="65" t="s">
        <v>72</v>
      </c>
      <c r="F98" s="19" t="str">
        <f t="shared" si="1"/>
        <v>guidance</v>
      </c>
      <c r="G98" s="65" t="s">
        <v>519</v>
      </c>
    </row>
    <row r="99" spans="1:8" ht="106.2">
      <c r="A99" s="19">
        <v>99</v>
      </c>
      <c r="B99" s="19" t="s">
        <v>36</v>
      </c>
      <c r="C99" s="19" t="s">
        <v>69</v>
      </c>
      <c r="D99" s="19" t="s">
        <v>71</v>
      </c>
      <c r="E99" s="65" t="s">
        <v>72</v>
      </c>
      <c r="F99" s="19" t="str">
        <f t="shared" si="1"/>
        <v>guidance</v>
      </c>
      <c r="G99" s="65" t="s">
        <v>280</v>
      </c>
    </row>
    <row r="100" spans="1:8" ht="79.8">
      <c r="A100" s="19">
        <v>100</v>
      </c>
      <c r="B100" s="19" t="s">
        <v>36</v>
      </c>
      <c r="C100" s="19" t="s">
        <v>69</v>
      </c>
      <c r="D100" s="19" t="s">
        <v>71</v>
      </c>
      <c r="E100" s="65" t="s">
        <v>72</v>
      </c>
      <c r="F100" s="19" t="str">
        <f t="shared" si="1"/>
        <v>guidance</v>
      </c>
      <c r="G100" s="65" t="s">
        <v>256</v>
      </c>
      <c r="H100" s="19" t="s">
        <v>203</v>
      </c>
    </row>
    <row r="101" spans="1:8" ht="27">
      <c r="A101" s="19">
        <v>101</v>
      </c>
      <c r="B101" s="19" t="s">
        <v>36</v>
      </c>
      <c r="C101" s="19" t="s">
        <v>69</v>
      </c>
      <c r="D101" s="19" t="s">
        <v>71</v>
      </c>
      <c r="E101" s="65" t="s">
        <v>72</v>
      </c>
      <c r="F101" s="19" t="str">
        <f t="shared" si="1"/>
        <v>guidance</v>
      </c>
      <c r="G101" s="65" t="s">
        <v>240</v>
      </c>
    </row>
    <row r="102" spans="1:8" ht="79.8">
      <c r="A102" s="19">
        <v>101</v>
      </c>
      <c r="B102" s="19" t="s">
        <v>36</v>
      </c>
      <c r="C102" s="19" t="s">
        <v>69</v>
      </c>
      <c r="D102" s="19" t="s">
        <v>71</v>
      </c>
      <c r="E102" s="65" t="s">
        <v>72</v>
      </c>
      <c r="F102" s="19" t="str">
        <f t="shared" si="1"/>
        <v>guidance</v>
      </c>
      <c r="G102" s="65" t="s">
        <v>241</v>
      </c>
    </row>
    <row r="103" spans="1:8" ht="40.200000000000003">
      <c r="A103" s="19">
        <v>101</v>
      </c>
      <c r="B103" s="19" t="s">
        <v>36</v>
      </c>
      <c r="C103" s="19" t="s">
        <v>69</v>
      </c>
      <c r="D103" s="19" t="s">
        <v>71</v>
      </c>
      <c r="E103" s="65" t="s">
        <v>72</v>
      </c>
      <c r="F103" s="19" t="str">
        <f t="shared" si="1"/>
        <v>guidance</v>
      </c>
      <c r="G103" s="65" t="s">
        <v>242</v>
      </c>
    </row>
    <row r="104" spans="1:8" ht="40.200000000000003">
      <c r="A104" s="19">
        <v>101</v>
      </c>
      <c r="B104" s="19" t="s">
        <v>36</v>
      </c>
      <c r="C104" s="19" t="s">
        <v>69</v>
      </c>
      <c r="D104" s="19" t="s">
        <v>71</v>
      </c>
      <c r="E104" s="65" t="s">
        <v>72</v>
      </c>
      <c r="F104" s="19" t="str">
        <f t="shared" si="1"/>
        <v>guidance</v>
      </c>
      <c r="G104" s="65" t="s">
        <v>255</v>
      </c>
    </row>
    <row r="105" spans="1:8" ht="53.4">
      <c r="A105" s="19">
        <v>102</v>
      </c>
      <c r="B105" s="19" t="s">
        <v>36</v>
      </c>
      <c r="C105" s="19" t="s">
        <v>69</v>
      </c>
      <c r="D105" s="19" t="s">
        <v>71</v>
      </c>
      <c r="E105" s="65" t="s">
        <v>72</v>
      </c>
      <c r="F105" s="19" t="str">
        <f t="shared" si="1"/>
        <v>guidance</v>
      </c>
      <c r="G105" s="65" t="s">
        <v>254</v>
      </c>
      <c r="H105" s="19" t="s">
        <v>203</v>
      </c>
    </row>
    <row r="106" spans="1:8" ht="40.200000000000003">
      <c r="A106" s="19">
        <v>103</v>
      </c>
      <c r="B106" s="19" t="s">
        <v>36</v>
      </c>
      <c r="C106" s="19" t="s">
        <v>69</v>
      </c>
      <c r="D106" s="19" t="s">
        <v>71</v>
      </c>
      <c r="E106" s="65" t="s">
        <v>72</v>
      </c>
      <c r="F106" s="19" t="str">
        <f t="shared" si="1"/>
        <v>guidance</v>
      </c>
      <c r="G106" s="65" t="s">
        <v>253</v>
      </c>
    </row>
    <row r="107" spans="1:8" ht="106.2">
      <c r="A107" s="19">
        <v>104</v>
      </c>
      <c r="B107" s="19" t="s">
        <v>36</v>
      </c>
      <c r="C107" s="19" t="s">
        <v>69</v>
      </c>
      <c r="D107" s="19" t="s">
        <v>71</v>
      </c>
      <c r="E107" s="65" t="s">
        <v>72</v>
      </c>
      <c r="F107" s="19" t="str">
        <f t="shared" si="1"/>
        <v>guidance</v>
      </c>
      <c r="G107" s="65" t="s">
        <v>248</v>
      </c>
      <c r="H107" s="19" t="s">
        <v>246</v>
      </c>
    </row>
    <row r="108" spans="1:8" ht="66.599999999999994">
      <c r="A108" s="19">
        <v>105</v>
      </c>
      <c r="B108" s="19" t="s">
        <v>36</v>
      </c>
      <c r="C108" s="19" t="s">
        <v>69</v>
      </c>
      <c r="D108" s="19" t="s">
        <v>71</v>
      </c>
      <c r="E108" s="65" t="s">
        <v>72</v>
      </c>
      <c r="F108" s="19" t="str">
        <f t="shared" si="1"/>
        <v>guidance</v>
      </c>
      <c r="G108" s="65" t="s">
        <v>249</v>
      </c>
      <c r="H108" s="19" t="s">
        <v>246</v>
      </c>
    </row>
    <row r="109" spans="1:8" ht="27">
      <c r="A109" s="19">
        <v>105</v>
      </c>
      <c r="B109" s="19" t="s">
        <v>36</v>
      </c>
      <c r="C109" s="19" t="s">
        <v>69</v>
      </c>
      <c r="D109" s="19" t="s">
        <v>71</v>
      </c>
      <c r="E109" s="65" t="s">
        <v>72</v>
      </c>
      <c r="F109" s="19" t="str">
        <f t="shared" si="1"/>
        <v>guidance</v>
      </c>
      <c r="G109" s="65" t="s">
        <v>243</v>
      </c>
    </row>
    <row r="110" spans="1:8" ht="40.200000000000003">
      <c r="A110" s="19">
        <v>106</v>
      </c>
      <c r="B110" s="19" t="s">
        <v>36</v>
      </c>
      <c r="C110" s="19" t="s">
        <v>69</v>
      </c>
      <c r="D110" s="19" t="s">
        <v>71</v>
      </c>
      <c r="E110" s="65" t="s">
        <v>72</v>
      </c>
      <c r="F110" s="19" t="str">
        <f t="shared" si="1"/>
        <v>guidance</v>
      </c>
      <c r="G110" s="65" t="s">
        <v>250</v>
      </c>
      <c r="H110" s="19" t="s">
        <v>246</v>
      </c>
    </row>
    <row r="111" spans="1:8" ht="27">
      <c r="A111" s="19">
        <v>106</v>
      </c>
      <c r="B111" s="19" t="s">
        <v>36</v>
      </c>
      <c r="C111" s="19" t="s">
        <v>69</v>
      </c>
      <c r="D111" s="19" t="s">
        <v>71</v>
      </c>
      <c r="E111" s="65" t="s">
        <v>72</v>
      </c>
      <c r="F111" s="19" t="str">
        <f t="shared" si="1"/>
        <v>guidance</v>
      </c>
      <c r="G111" s="65" t="s">
        <v>244</v>
      </c>
    </row>
    <row r="112" spans="1:8" ht="27">
      <c r="A112" s="19">
        <v>106</v>
      </c>
      <c r="B112" s="19" t="s">
        <v>36</v>
      </c>
      <c r="C112" s="19" t="s">
        <v>69</v>
      </c>
      <c r="D112" s="19" t="s">
        <v>71</v>
      </c>
      <c r="E112" s="65" t="s">
        <v>72</v>
      </c>
      <c r="F112" s="19" t="str">
        <f t="shared" si="1"/>
        <v>guidance</v>
      </c>
      <c r="G112" s="65" t="s">
        <v>245</v>
      </c>
    </row>
    <row r="113" spans="1:12" ht="66.599999999999994">
      <c r="A113" s="19">
        <v>107</v>
      </c>
      <c r="B113" s="19" t="s">
        <v>36</v>
      </c>
      <c r="C113" s="19" t="s">
        <v>69</v>
      </c>
      <c r="D113" s="19" t="s">
        <v>71</v>
      </c>
      <c r="E113" s="65" t="s">
        <v>72</v>
      </c>
      <c r="F113" s="19" t="str">
        <f t="shared" si="1"/>
        <v>guidance</v>
      </c>
      <c r="G113" s="65" t="s">
        <v>251</v>
      </c>
      <c r="H113" s="19" t="s">
        <v>246</v>
      </c>
    </row>
    <row r="114" spans="1:12" ht="79.8">
      <c r="A114" s="19">
        <v>108</v>
      </c>
      <c r="B114" s="19" t="s">
        <v>36</v>
      </c>
      <c r="C114" s="19" t="s">
        <v>69</v>
      </c>
      <c r="D114" s="19" t="s">
        <v>71</v>
      </c>
      <c r="E114" s="65" t="s">
        <v>72</v>
      </c>
      <c r="F114" s="19" t="str">
        <f t="shared" si="1"/>
        <v>guidance</v>
      </c>
      <c r="G114" s="65" t="s">
        <v>281</v>
      </c>
      <c r="H114" s="19" t="s">
        <v>296</v>
      </c>
    </row>
    <row r="115" spans="1:12" ht="28.8">
      <c r="A115" s="19">
        <v>108</v>
      </c>
      <c r="B115" s="19" t="s">
        <v>36</v>
      </c>
      <c r="C115" s="19" t="s">
        <v>69</v>
      </c>
      <c r="D115" s="19" t="s">
        <v>71</v>
      </c>
      <c r="E115" s="65" t="s">
        <v>72</v>
      </c>
      <c r="F115" s="19" t="str">
        <f t="shared" si="1"/>
        <v>guidance</v>
      </c>
      <c r="G115" s="68" t="s">
        <v>247</v>
      </c>
      <c r="H115" s="19" t="s">
        <v>296</v>
      </c>
    </row>
    <row r="116" spans="1:12" ht="79.8">
      <c r="A116" s="19">
        <v>109</v>
      </c>
      <c r="B116" s="19" t="s">
        <v>36</v>
      </c>
      <c r="C116" s="19" t="s">
        <v>69</v>
      </c>
      <c r="D116" s="19" t="s">
        <v>71</v>
      </c>
      <c r="E116" s="65" t="s">
        <v>72</v>
      </c>
      <c r="F116" s="19" t="str">
        <f t="shared" si="1"/>
        <v>guidance</v>
      </c>
      <c r="G116" s="65" t="s">
        <v>282</v>
      </c>
      <c r="H116" s="19" t="s">
        <v>296</v>
      </c>
    </row>
    <row r="117" spans="1:12" ht="93">
      <c r="A117" s="19">
        <v>32</v>
      </c>
      <c r="B117" s="19" t="s">
        <v>36</v>
      </c>
      <c r="C117" s="19" t="s">
        <v>69</v>
      </c>
      <c r="D117" s="19" t="s">
        <v>78</v>
      </c>
      <c r="E117" s="65" t="s">
        <v>80</v>
      </c>
      <c r="F117" s="19" t="str">
        <f t="shared" si="1"/>
        <v>datapoint</v>
      </c>
      <c r="G117" s="65" t="s">
        <v>81</v>
      </c>
      <c r="I117" s="19" t="s">
        <v>187</v>
      </c>
      <c r="K117" s="19" t="s">
        <v>689</v>
      </c>
    </row>
    <row r="118" spans="1:12" ht="132.6">
      <c r="A118" s="19">
        <v>110</v>
      </c>
      <c r="B118" s="19" t="s">
        <v>36</v>
      </c>
      <c r="C118" s="19" t="s">
        <v>69</v>
      </c>
      <c r="D118" s="19" t="s">
        <v>78</v>
      </c>
      <c r="E118" s="65" t="s">
        <v>80</v>
      </c>
      <c r="F118" s="19" t="str">
        <f t="shared" si="1"/>
        <v>guidance</v>
      </c>
      <c r="G118" s="65" t="s">
        <v>283</v>
      </c>
      <c r="L118" s="19" t="s">
        <v>712</v>
      </c>
    </row>
    <row r="119" spans="1:12" ht="251.4">
      <c r="A119" s="19">
        <v>111</v>
      </c>
      <c r="B119" s="19" t="s">
        <v>36</v>
      </c>
      <c r="C119" s="19" t="s">
        <v>69</v>
      </c>
      <c r="D119" s="19" t="s">
        <v>78</v>
      </c>
      <c r="E119" s="65" t="s">
        <v>80</v>
      </c>
      <c r="F119" s="19" t="str">
        <f t="shared" si="1"/>
        <v>guidance</v>
      </c>
      <c r="G119" s="65" t="s">
        <v>284</v>
      </c>
    </row>
    <row r="120" spans="1:12" ht="66.599999999999994">
      <c r="A120" s="19">
        <v>112</v>
      </c>
      <c r="B120" s="19" t="s">
        <v>36</v>
      </c>
      <c r="C120" s="19" t="s">
        <v>69</v>
      </c>
      <c r="D120" s="19" t="s">
        <v>78</v>
      </c>
      <c r="E120" s="65" t="s">
        <v>80</v>
      </c>
      <c r="F120" s="19" t="str">
        <f t="shared" si="1"/>
        <v>guidance</v>
      </c>
      <c r="G120" s="65" t="s">
        <v>285</v>
      </c>
    </row>
    <row r="121" spans="1:12" ht="79.8">
      <c r="A121" s="19">
        <v>113</v>
      </c>
      <c r="B121" s="19" t="s">
        <v>36</v>
      </c>
      <c r="C121" s="19" t="s">
        <v>69</v>
      </c>
      <c r="D121" s="19" t="s">
        <v>78</v>
      </c>
      <c r="E121" s="65" t="s">
        <v>80</v>
      </c>
      <c r="F121" s="19" t="str">
        <f t="shared" si="1"/>
        <v>guidance</v>
      </c>
      <c r="G121" s="65" t="s">
        <v>286</v>
      </c>
    </row>
    <row r="122" spans="1:12" ht="43.2">
      <c r="A122" s="19">
        <v>114</v>
      </c>
      <c r="B122" s="19" t="s">
        <v>36</v>
      </c>
      <c r="C122" s="19" t="s">
        <v>69</v>
      </c>
      <c r="D122" s="19" t="s">
        <v>78</v>
      </c>
      <c r="E122" s="65" t="s">
        <v>80</v>
      </c>
      <c r="F122" s="19" t="str">
        <f t="shared" si="1"/>
        <v>guidance</v>
      </c>
      <c r="G122" s="19" t="s">
        <v>287</v>
      </c>
    </row>
    <row r="123" spans="1:12" ht="27">
      <c r="A123" s="19">
        <v>115</v>
      </c>
      <c r="B123" s="19" t="s">
        <v>36</v>
      </c>
      <c r="C123" s="19" t="s">
        <v>69</v>
      </c>
      <c r="D123" s="19" t="s">
        <v>78</v>
      </c>
      <c r="E123" s="65" t="s">
        <v>80</v>
      </c>
      <c r="F123" s="19" t="str">
        <f t="shared" si="1"/>
        <v>guidance</v>
      </c>
      <c r="G123" s="65" t="s">
        <v>288</v>
      </c>
      <c r="H123" s="19" t="s">
        <v>203</v>
      </c>
    </row>
    <row r="124" spans="1:12" ht="57.6">
      <c r="A124" s="19">
        <v>116</v>
      </c>
      <c r="B124" s="19" t="s">
        <v>36</v>
      </c>
      <c r="C124" s="19" t="s">
        <v>69</v>
      </c>
      <c r="D124" s="19" t="s">
        <v>78</v>
      </c>
      <c r="E124" s="65" t="s">
        <v>80</v>
      </c>
      <c r="F124" s="19" t="str">
        <f t="shared" si="1"/>
        <v>guidance</v>
      </c>
      <c r="G124" s="19" t="s">
        <v>289</v>
      </c>
    </row>
    <row r="125" spans="1:12" ht="27">
      <c r="A125" s="19">
        <v>117</v>
      </c>
      <c r="B125" s="19" t="s">
        <v>36</v>
      </c>
      <c r="C125" s="19" t="s">
        <v>69</v>
      </c>
      <c r="D125" s="19" t="s">
        <v>78</v>
      </c>
      <c r="E125" s="65" t="s">
        <v>80</v>
      </c>
      <c r="F125" s="19" t="str">
        <f t="shared" si="1"/>
        <v>guidance</v>
      </c>
      <c r="G125" s="65" t="s">
        <v>315</v>
      </c>
    </row>
    <row r="126" spans="1:12" ht="27">
      <c r="A126" s="19">
        <v>117</v>
      </c>
      <c r="B126" s="19" t="s">
        <v>36</v>
      </c>
      <c r="C126" s="19" t="s">
        <v>69</v>
      </c>
      <c r="D126" s="19" t="s">
        <v>78</v>
      </c>
      <c r="E126" s="65" t="s">
        <v>80</v>
      </c>
      <c r="F126" s="19" t="str">
        <f t="shared" si="1"/>
        <v>guidance</v>
      </c>
      <c r="G126" s="65" t="s">
        <v>316</v>
      </c>
    </row>
    <row r="127" spans="1:12" ht="27">
      <c r="A127" s="19">
        <v>117</v>
      </c>
      <c r="B127" s="19" t="s">
        <v>36</v>
      </c>
      <c r="C127" s="19" t="s">
        <v>69</v>
      </c>
      <c r="D127" s="19" t="s">
        <v>78</v>
      </c>
      <c r="E127" s="65" t="s">
        <v>80</v>
      </c>
      <c r="F127" s="19" t="str">
        <f t="shared" si="1"/>
        <v>guidance</v>
      </c>
      <c r="G127" s="65" t="s">
        <v>317</v>
      </c>
    </row>
    <row r="128" spans="1:12" ht="27">
      <c r="A128" s="19">
        <v>117</v>
      </c>
      <c r="B128" s="19" t="s">
        <v>36</v>
      </c>
      <c r="C128" s="19" t="s">
        <v>69</v>
      </c>
      <c r="D128" s="19" t="s">
        <v>78</v>
      </c>
      <c r="E128" s="65" t="s">
        <v>80</v>
      </c>
      <c r="F128" s="19" t="str">
        <f t="shared" si="1"/>
        <v>guidance</v>
      </c>
      <c r="G128" s="65" t="s">
        <v>318</v>
      </c>
    </row>
    <row r="129" spans="1:8" ht="27">
      <c r="A129" s="19">
        <v>117</v>
      </c>
      <c r="B129" s="19" t="s">
        <v>36</v>
      </c>
      <c r="C129" s="19" t="s">
        <v>69</v>
      </c>
      <c r="D129" s="19" t="s">
        <v>78</v>
      </c>
      <c r="E129" s="65" t="s">
        <v>80</v>
      </c>
      <c r="F129" s="19" t="str">
        <f t="shared" si="1"/>
        <v>guidance</v>
      </c>
      <c r="G129" s="65" t="s">
        <v>319</v>
      </c>
    </row>
    <row r="130" spans="1:8" ht="27">
      <c r="A130" s="19">
        <v>117</v>
      </c>
      <c r="B130" s="19" t="s">
        <v>36</v>
      </c>
      <c r="C130" s="19" t="s">
        <v>69</v>
      </c>
      <c r="D130" s="19" t="s">
        <v>78</v>
      </c>
      <c r="E130" s="65" t="s">
        <v>80</v>
      </c>
      <c r="F130" s="19" t="str">
        <f t="shared" si="1"/>
        <v>guidance</v>
      </c>
      <c r="G130" s="65" t="s">
        <v>320</v>
      </c>
    </row>
    <row r="131" spans="1:8" ht="27">
      <c r="A131" s="19">
        <v>117</v>
      </c>
      <c r="B131" s="19" t="s">
        <v>36</v>
      </c>
      <c r="C131" s="19" t="s">
        <v>69</v>
      </c>
      <c r="D131" s="19" t="s">
        <v>78</v>
      </c>
      <c r="E131" s="65" t="s">
        <v>80</v>
      </c>
      <c r="F131" s="19" t="str">
        <f t="shared" ref="F131:F194" si="2">IF(VALUE(A131)&gt;66,"guidance","datapoint")</f>
        <v>guidance</v>
      </c>
      <c r="G131" s="65" t="s">
        <v>321</v>
      </c>
    </row>
    <row r="132" spans="1:8" ht="27">
      <c r="A132" s="19">
        <v>117</v>
      </c>
      <c r="B132" s="19" t="s">
        <v>36</v>
      </c>
      <c r="C132" s="19" t="s">
        <v>69</v>
      </c>
      <c r="D132" s="19" t="s">
        <v>78</v>
      </c>
      <c r="E132" s="65" t="s">
        <v>80</v>
      </c>
      <c r="F132" s="19" t="str">
        <f t="shared" si="2"/>
        <v>guidance</v>
      </c>
      <c r="G132" s="65" t="s">
        <v>322</v>
      </c>
    </row>
    <row r="133" spans="1:8" ht="27">
      <c r="A133" s="19">
        <v>117</v>
      </c>
      <c r="B133" s="19" t="s">
        <v>36</v>
      </c>
      <c r="C133" s="19" t="s">
        <v>69</v>
      </c>
      <c r="D133" s="19" t="s">
        <v>78</v>
      </c>
      <c r="E133" s="65" t="s">
        <v>80</v>
      </c>
      <c r="F133" s="19" t="str">
        <f t="shared" si="2"/>
        <v>guidance</v>
      </c>
      <c r="G133" s="65" t="s">
        <v>323</v>
      </c>
    </row>
    <row r="134" spans="1:8" ht="27">
      <c r="A134" s="19">
        <v>117</v>
      </c>
      <c r="B134" s="19" t="s">
        <v>36</v>
      </c>
      <c r="C134" s="19" t="s">
        <v>69</v>
      </c>
      <c r="D134" s="19" t="s">
        <v>78</v>
      </c>
      <c r="E134" s="65" t="s">
        <v>80</v>
      </c>
      <c r="F134" s="19" t="str">
        <f t="shared" si="2"/>
        <v>guidance</v>
      </c>
      <c r="G134" s="65" t="s">
        <v>324</v>
      </c>
    </row>
    <row r="135" spans="1:8" ht="27">
      <c r="A135" s="19">
        <v>117</v>
      </c>
      <c r="B135" s="19" t="s">
        <v>36</v>
      </c>
      <c r="C135" s="19" t="s">
        <v>69</v>
      </c>
      <c r="D135" s="19" t="s">
        <v>78</v>
      </c>
      <c r="E135" s="65" t="s">
        <v>80</v>
      </c>
      <c r="F135" s="19" t="str">
        <f t="shared" si="2"/>
        <v>guidance</v>
      </c>
      <c r="G135" s="65" t="s">
        <v>325</v>
      </c>
    </row>
    <row r="136" spans="1:8" ht="40.200000000000003">
      <c r="A136" s="19">
        <v>118</v>
      </c>
      <c r="B136" s="19" t="s">
        <v>36</v>
      </c>
      <c r="C136" s="19" t="s">
        <v>69</v>
      </c>
      <c r="D136" s="19" t="s">
        <v>78</v>
      </c>
      <c r="E136" s="65" t="s">
        <v>80</v>
      </c>
      <c r="F136" s="19" t="str">
        <f t="shared" si="2"/>
        <v>guidance</v>
      </c>
      <c r="G136" s="65" t="s">
        <v>326</v>
      </c>
    </row>
    <row r="137" spans="1:8" ht="40.200000000000003">
      <c r="A137" s="19">
        <v>118</v>
      </c>
      <c r="B137" s="19" t="s">
        <v>36</v>
      </c>
      <c r="C137" s="19" t="s">
        <v>69</v>
      </c>
      <c r="D137" s="19" t="s">
        <v>78</v>
      </c>
      <c r="E137" s="65" t="s">
        <v>80</v>
      </c>
      <c r="F137" s="19" t="str">
        <f t="shared" si="2"/>
        <v>guidance</v>
      </c>
      <c r="G137" s="65" t="s">
        <v>327</v>
      </c>
    </row>
    <row r="138" spans="1:8" ht="40.200000000000003">
      <c r="A138" s="19">
        <v>118</v>
      </c>
      <c r="B138" s="19" t="s">
        <v>36</v>
      </c>
      <c r="C138" s="19" t="s">
        <v>69</v>
      </c>
      <c r="D138" s="19" t="s">
        <v>78</v>
      </c>
      <c r="E138" s="65" t="s">
        <v>80</v>
      </c>
      <c r="F138" s="19" t="str">
        <f t="shared" si="2"/>
        <v>guidance</v>
      </c>
      <c r="G138" s="65" t="s">
        <v>328</v>
      </c>
    </row>
    <row r="139" spans="1:8" ht="27">
      <c r="A139" s="19">
        <v>118</v>
      </c>
      <c r="B139" s="19" t="s">
        <v>36</v>
      </c>
      <c r="C139" s="19" t="s">
        <v>69</v>
      </c>
      <c r="D139" s="19" t="s">
        <v>78</v>
      </c>
      <c r="E139" s="65" t="s">
        <v>80</v>
      </c>
      <c r="F139" s="19" t="str">
        <f t="shared" si="2"/>
        <v>guidance</v>
      </c>
      <c r="G139" s="65" t="s">
        <v>329</v>
      </c>
    </row>
    <row r="140" spans="1:8" ht="27">
      <c r="A140" s="19">
        <v>118</v>
      </c>
      <c r="B140" s="19" t="s">
        <v>36</v>
      </c>
      <c r="C140" s="19" t="s">
        <v>69</v>
      </c>
      <c r="D140" s="19" t="s">
        <v>78</v>
      </c>
      <c r="E140" s="65" t="s">
        <v>80</v>
      </c>
      <c r="F140" s="19" t="str">
        <f t="shared" si="2"/>
        <v>guidance</v>
      </c>
      <c r="G140" s="65" t="s">
        <v>330</v>
      </c>
    </row>
    <row r="141" spans="1:8" ht="27">
      <c r="A141" s="19">
        <v>118</v>
      </c>
      <c r="B141" s="19" t="s">
        <v>36</v>
      </c>
      <c r="C141" s="19" t="s">
        <v>69</v>
      </c>
      <c r="D141" s="19" t="s">
        <v>78</v>
      </c>
      <c r="E141" s="65" t="s">
        <v>80</v>
      </c>
      <c r="F141" s="19" t="str">
        <f t="shared" si="2"/>
        <v>guidance</v>
      </c>
      <c r="G141" s="65" t="s">
        <v>331</v>
      </c>
    </row>
    <row r="142" spans="1:8" ht="27">
      <c r="A142" s="19">
        <v>118</v>
      </c>
      <c r="B142" s="19" t="s">
        <v>36</v>
      </c>
      <c r="C142" s="19" t="s">
        <v>69</v>
      </c>
      <c r="D142" s="19" t="s">
        <v>78</v>
      </c>
      <c r="E142" s="65" t="s">
        <v>80</v>
      </c>
      <c r="F142" s="19" t="str">
        <f t="shared" si="2"/>
        <v>guidance</v>
      </c>
      <c r="G142" s="65" t="s">
        <v>332</v>
      </c>
    </row>
    <row r="143" spans="1:8" ht="79.8">
      <c r="A143" s="19">
        <v>119</v>
      </c>
      <c r="B143" s="19" t="s">
        <v>36</v>
      </c>
      <c r="C143" s="19" t="s">
        <v>69</v>
      </c>
      <c r="D143" s="19" t="s">
        <v>78</v>
      </c>
      <c r="E143" s="65" t="s">
        <v>80</v>
      </c>
      <c r="F143" s="19" t="str">
        <f t="shared" si="2"/>
        <v>guidance</v>
      </c>
      <c r="G143" s="65" t="s">
        <v>713</v>
      </c>
      <c r="H143" s="19" t="s">
        <v>203</v>
      </c>
    </row>
    <row r="144" spans="1:8" ht="27">
      <c r="A144" s="19">
        <v>119</v>
      </c>
      <c r="B144" s="19" t="s">
        <v>36</v>
      </c>
      <c r="C144" s="19" t="s">
        <v>69</v>
      </c>
      <c r="D144" s="19" t="s">
        <v>78</v>
      </c>
      <c r="E144" s="65" t="s">
        <v>80</v>
      </c>
      <c r="F144" s="19" t="str">
        <f t="shared" si="2"/>
        <v>guidance</v>
      </c>
      <c r="G144" s="65" t="s">
        <v>334</v>
      </c>
    </row>
    <row r="145" spans="1:7" ht="27">
      <c r="A145" s="19">
        <v>119</v>
      </c>
      <c r="B145" s="19" t="s">
        <v>36</v>
      </c>
      <c r="C145" s="19" t="s">
        <v>69</v>
      </c>
      <c r="D145" s="19" t="s">
        <v>78</v>
      </c>
      <c r="E145" s="65" t="s">
        <v>80</v>
      </c>
      <c r="F145" s="19" t="str">
        <f t="shared" si="2"/>
        <v>guidance</v>
      </c>
      <c r="G145" s="65" t="s">
        <v>335</v>
      </c>
    </row>
    <row r="146" spans="1:7" ht="27">
      <c r="A146" s="19">
        <v>119</v>
      </c>
      <c r="B146" s="19" t="s">
        <v>36</v>
      </c>
      <c r="C146" s="19" t="s">
        <v>69</v>
      </c>
      <c r="D146" s="19" t="s">
        <v>78</v>
      </c>
      <c r="E146" s="65" t="s">
        <v>80</v>
      </c>
      <c r="F146" s="19" t="str">
        <f t="shared" si="2"/>
        <v>guidance</v>
      </c>
      <c r="G146" s="65" t="s">
        <v>336</v>
      </c>
    </row>
    <row r="147" spans="1:7" ht="27">
      <c r="A147" s="19">
        <v>119</v>
      </c>
      <c r="B147" s="19" t="s">
        <v>36</v>
      </c>
      <c r="C147" s="19" t="s">
        <v>69</v>
      </c>
      <c r="D147" s="19" t="s">
        <v>78</v>
      </c>
      <c r="E147" s="65" t="s">
        <v>80</v>
      </c>
      <c r="F147" s="19" t="str">
        <f t="shared" si="2"/>
        <v>guidance</v>
      </c>
      <c r="G147" s="65" t="s">
        <v>337</v>
      </c>
    </row>
    <row r="148" spans="1:7" ht="27">
      <c r="A148" s="19">
        <v>119</v>
      </c>
      <c r="B148" s="19" t="s">
        <v>36</v>
      </c>
      <c r="C148" s="19" t="s">
        <v>69</v>
      </c>
      <c r="D148" s="19" t="s">
        <v>78</v>
      </c>
      <c r="E148" s="65" t="s">
        <v>80</v>
      </c>
      <c r="F148" s="19" t="str">
        <f t="shared" si="2"/>
        <v>guidance</v>
      </c>
      <c r="G148" s="65" t="s">
        <v>338</v>
      </c>
    </row>
    <row r="149" spans="1:7" ht="40.200000000000003">
      <c r="A149" s="19">
        <v>120</v>
      </c>
      <c r="B149" s="19" t="s">
        <v>36</v>
      </c>
      <c r="C149" s="19" t="s">
        <v>69</v>
      </c>
      <c r="D149" s="19" t="s">
        <v>78</v>
      </c>
      <c r="E149" s="65" t="s">
        <v>80</v>
      </c>
      <c r="F149" s="19" t="str">
        <f t="shared" si="2"/>
        <v>guidance</v>
      </c>
      <c r="G149" s="65" t="s">
        <v>339</v>
      </c>
    </row>
    <row r="150" spans="1:7" ht="27">
      <c r="A150" s="19">
        <v>120</v>
      </c>
      <c r="B150" s="19" t="s">
        <v>36</v>
      </c>
      <c r="C150" s="19" t="s">
        <v>69</v>
      </c>
      <c r="D150" s="19" t="s">
        <v>78</v>
      </c>
      <c r="E150" s="65" t="s">
        <v>80</v>
      </c>
      <c r="F150" s="19" t="str">
        <f t="shared" si="2"/>
        <v>guidance</v>
      </c>
      <c r="G150" s="65" t="s">
        <v>340</v>
      </c>
    </row>
    <row r="151" spans="1:7" ht="27">
      <c r="A151" s="19">
        <v>120</v>
      </c>
      <c r="B151" s="19" t="s">
        <v>36</v>
      </c>
      <c r="C151" s="19" t="s">
        <v>69</v>
      </c>
      <c r="D151" s="19" t="s">
        <v>78</v>
      </c>
      <c r="E151" s="65" t="s">
        <v>80</v>
      </c>
      <c r="F151" s="19" t="str">
        <f t="shared" si="2"/>
        <v>guidance</v>
      </c>
      <c r="G151" s="65" t="s">
        <v>341</v>
      </c>
    </row>
    <row r="152" spans="1:7" ht="27">
      <c r="A152" s="19">
        <v>120</v>
      </c>
      <c r="B152" s="19" t="s">
        <v>36</v>
      </c>
      <c r="C152" s="19" t="s">
        <v>69</v>
      </c>
      <c r="D152" s="19" t="s">
        <v>78</v>
      </c>
      <c r="E152" s="65" t="s">
        <v>80</v>
      </c>
      <c r="F152" s="19" t="str">
        <f t="shared" si="2"/>
        <v>guidance</v>
      </c>
      <c r="G152" s="65" t="s">
        <v>342</v>
      </c>
    </row>
    <row r="153" spans="1:7" ht="27">
      <c r="A153" s="19">
        <v>120</v>
      </c>
      <c r="B153" s="19" t="s">
        <v>36</v>
      </c>
      <c r="C153" s="19" t="s">
        <v>69</v>
      </c>
      <c r="D153" s="19" t="s">
        <v>78</v>
      </c>
      <c r="E153" s="65" t="s">
        <v>80</v>
      </c>
      <c r="F153" s="19" t="str">
        <f t="shared" si="2"/>
        <v>guidance</v>
      </c>
      <c r="G153" s="65" t="s">
        <v>290</v>
      </c>
    </row>
    <row r="154" spans="1:7" ht="40.200000000000003">
      <c r="A154" s="19">
        <v>121</v>
      </c>
      <c r="B154" s="19" t="s">
        <v>36</v>
      </c>
      <c r="C154" s="19" t="s">
        <v>69</v>
      </c>
      <c r="D154" s="19" t="s">
        <v>78</v>
      </c>
      <c r="E154" s="65" t="s">
        <v>80</v>
      </c>
      <c r="F154" s="19" t="str">
        <f t="shared" si="2"/>
        <v>guidance</v>
      </c>
      <c r="G154" s="65" t="s">
        <v>291</v>
      </c>
    </row>
    <row r="155" spans="1:7" ht="27">
      <c r="A155" s="19">
        <v>121</v>
      </c>
      <c r="B155" s="19" t="s">
        <v>36</v>
      </c>
      <c r="C155" s="19" t="s">
        <v>69</v>
      </c>
      <c r="D155" s="19" t="s">
        <v>78</v>
      </c>
      <c r="E155" s="65" t="s">
        <v>80</v>
      </c>
      <c r="F155" s="19" t="str">
        <f t="shared" si="2"/>
        <v>guidance</v>
      </c>
      <c r="G155" s="65" t="s">
        <v>292</v>
      </c>
    </row>
    <row r="156" spans="1:7" ht="53.4">
      <c r="A156" s="19">
        <v>122</v>
      </c>
      <c r="B156" s="19" t="s">
        <v>36</v>
      </c>
      <c r="C156" s="19" t="s">
        <v>69</v>
      </c>
      <c r="D156" s="19" t="s">
        <v>78</v>
      </c>
      <c r="E156" s="65" t="s">
        <v>80</v>
      </c>
      <c r="F156" s="19" t="str">
        <f t="shared" si="2"/>
        <v>guidance</v>
      </c>
      <c r="G156" s="65" t="s">
        <v>343</v>
      </c>
    </row>
    <row r="157" spans="1:7" ht="27">
      <c r="A157" s="19">
        <v>122</v>
      </c>
      <c r="B157" s="19" t="s">
        <v>36</v>
      </c>
      <c r="C157" s="19" t="s">
        <v>69</v>
      </c>
      <c r="D157" s="19" t="s">
        <v>78</v>
      </c>
      <c r="E157" s="65" t="s">
        <v>80</v>
      </c>
      <c r="F157" s="19" t="str">
        <f t="shared" si="2"/>
        <v>guidance</v>
      </c>
      <c r="G157" s="65" t="s">
        <v>344</v>
      </c>
    </row>
    <row r="158" spans="1:7" ht="27">
      <c r="A158" s="19">
        <v>122</v>
      </c>
      <c r="B158" s="19" t="s">
        <v>36</v>
      </c>
      <c r="C158" s="19" t="s">
        <v>69</v>
      </c>
      <c r="D158" s="19" t="s">
        <v>78</v>
      </c>
      <c r="E158" s="65" t="s">
        <v>80</v>
      </c>
      <c r="F158" s="19" t="str">
        <f t="shared" si="2"/>
        <v>guidance</v>
      </c>
      <c r="G158" s="65" t="s">
        <v>345</v>
      </c>
    </row>
    <row r="159" spans="1:7" ht="27">
      <c r="A159" s="19">
        <v>122</v>
      </c>
      <c r="B159" s="19" t="s">
        <v>36</v>
      </c>
      <c r="C159" s="19" t="s">
        <v>69</v>
      </c>
      <c r="D159" s="19" t="s">
        <v>78</v>
      </c>
      <c r="E159" s="65" t="s">
        <v>80</v>
      </c>
      <c r="F159" s="19" t="str">
        <f t="shared" si="2"/>
        <v>guidance</v>
      </c>
      <c r="G159" s="65" t="s">
        <v>346</v>
      </c>
    </row>
    <row r="160" spans="1:7" ht="27">
      <c r="A160" s="19">
        <v>122</v>
      </c>
      <c r="B160" s="19" t="s">
        <v>36</v>
      </c>
      <c r="C160" s="19" t="s">
        <v>69</v>
      </c>
      <c r="D160" s="19" t="s">
        <v>78</v>
      </c>
      <c r="E160" s="65" t="s">
        <v>80</v>
      </c>
      <c r="F160" s="19" t="str">
        <f t="shared" si="2"/>
        <v>guidance</v>
      </c>
      <c r="G160" s="65" t="s">
        <v>293</v>
      </c>
    </row>
    <row r="161" spans="1:7" ht="40.200000000000003">
      <c r="A161" s="19">
        <v>123</v>
      </c>
      <c r="B161" s="19" t="s">
        <v>36</v>
      </c>
      <c r="C161" s="19" t="s">
        <v>69</v>
      </c>
      <c r="D161" s="19" t="s">
        <v>78</v>
      </c>
      <c r="E161" s="65" t="s">
        <v>80</v>
      </c>
      <c r="F161" s="19" t="str">
        <f t="shared" si="2"/>
        <v>guidance</v>
      </c>
      <c r="G161" s="65" t="s">
        <v>294</v>
      </c>
    </row>
    <row r="162" spans="1:7" ht="27">
      <c r="A162" s="19">
        <v>123</v>
      </c>
      <c r="B162" s="19" t="s">
        <v>36</v>
      </c>
      <c r="C162" s="19" t="s">
        <v>69</v>
      </c>
      <c r="D162" s="19" t="s">
        <v>78</v>
      </c>
      <c r="E162" s="65" t="s">
        <v>80</v>
      </c>
      <c r="F162" s="19" t="str">
        <f t="shared" si="2"/>
        <v>guidance</v>
      </c>
      <c r="G162" s="65" t="s">
        <v>295</v>
      </c>
    </row>
    <row r="163" spans="1:7" ht="66.599999999999994">
      <c r="A163" s="19">
        <v>124</v>
      </c>
      <c r="B163" s="19" t="s">
        <v>36</v>
      </c>
      <c r="C163" s="19" t="s">
        <v>69</v>
      </c>
      <c r="D163" s="19" t="s">
        <v>78</v>
      </c>
      <c r="E163" s="65" t="s">
        <v>80</v>
      </c>
      <c r="F163" s="19" t="str">
        <f t="shared" si="2"/>
        <v>guidance</v>
      </c>
      <c r="G163" s="65" t="s">
        <v>297</v>
      </c>
    </row>
    <row r="164" spans="1:7" ht="27">
      <c r="A164" s="19">
        <v>125</v>
      </c>
      <c r="B164" s="19" t="s">
        <v>36</v>
      </c>
      <c r="C164" s="19" t="s">
        <v>69</v>
      </c>
      <c r="D164" s="19" t="s">
        <v>78</v>
      </c>
      <c r="E164" s="65" t="s">
        <v>80</v>
      </c>
      <c r="F164" s="19" t="str">
        <f t="shared" si="2"/>
        <v>guidance</v>
      </c>
      <c r="G164" s="65" t="s">
        <v>299</v>
      </c>
    </row>
    <row r="165" spans="1:7" ht="27">
      <c r="A165" s="19">
        <v>125</v>
      </c>
      <c r="B165" s="19" t="s">
        <v>36</v>
      </c>
      <c r="C165" s="19" t="s">
        <v>69</v>
      </c>
      <c r="D165" s="19" t="s">
        <v>78</v>
      </c>
      <c r="E165" s="65" t="s">
        <v>80</v>
      </c>
      <c r="F165" s="19" t="str">
        <f t="shared" si="2"/>
        <v>guidance</v>
      </c>
      <c r="G165" s="65" t="s">
        <v>298</v>
      </c>
    </row>
    <row r="166" spans="1:7" ht="119.4">
      <c r="A166" s="19">
        <v>126</v>
      </c>
      <c r="B166" s="19" t="s">
        <v>36</v>
      </c>
      <c r="C166" s="19" t="s">
        <v>69</v>
      </c>
      <c r="D166" s="19" t="s">
        <v>78</v>
      </c>
      <c r="E166" s="65" t="s">
        <v>80</v>
      </c>
      <c r="F166" s="19" t="str">
        <f t="shared" si="2"/>
        <v>guidance</v>
      </c>
      <c r="G166" s="65" t="s">
        <v>300</v>
      </c>
    </row>
    <row r="167" spans="1:7" ht="172.2">
      <c r="A167" s="19">
        <v>127</v>
      </c>
      <c r="B167" s="19" t="s">
        <v>36</v>
      </c>
      <c r="C167" s="19" t="s">
        <v>69</v>
      </c>
      <c r="D167" s="19" t="s">
        <v>78</v>
      </c>
      <c r="E167" s="65" t="s">
        <v>80</v>
      </c>
      <c r="F167" s="19" t="str">
        <f t="shared" si="2"/>
        <v>guidance</v>
      </c>
      <c r="G167" s="65" t="s">
        <v>301</v>
      </c>
    </row>
    <row r="168" spans="1:7" ht="93">
      <c r="A168" s="19">
        <v>128</v>
      </c>
      <c r="B168" s="19" t="s">
        <v>36</v>
      </c>
      <c r="C168" s="19" t="s">
        <v>69</v>
      </c>
      <c r="D168" s="19" t="s">
        <v>78</v>
      </c>
      <c r="E168" s="65" t="s">
        <v>80</v>
      </c>
      <c r="F168" s="19" t="str">
        <f t="shared" si="2"/>
        <v>guidance</v>
      </c>
      <c r="G168" s="65" t="s">
        <v>302</v>
      </c>
    </row>
    <row r="169" spans="1:7" ht="27">
      <c r="A169" s="19">
        <v>128</v>
      </c>
      <c r="B169" s="19" t="s">
        <v>36</v>
      </c>
      <c r="C169" s="19" t="s">
        <v>69</v>
      </c>
      <c r="D169" s="19" t="s">
        <v>78</v>
      </c>
      <c r="E169" s="65" t="s">
        <v>80</v>
      </c>
      <c r="F169" s="19" t="str">
        <f t="shared" si="2"/>
        <v>guidance</v>
      </c>
      <c r="G169" s="65" t="s">
        <v>303</v>
      </c>
    </row>
    <row r="170" spans="1:7" ht="53.4">
      <c r="A170" s="19">
        <v>129</v>
      </c>
      <c r="B170" s="19" t="s">
        <v>36</v>
      </c>
      <c r="C170" s="19" t="s">
        <v>69</v>
      </c>
      <c r="D170" s="19" t="s">
        <v>78</v>
      </c>
      <c r="E170" s="65" t="s">
        <v>80</v>
      </c>
      <c r="F170" s="19" t="str">
        <f t="shared" si="2"/>
        <v>guidance</v>
      </c>
      <c r="G170" s="65" t="s">
        <v>304</v>
      </c>
    </row>
    <row r="171" spans="1:7" ht="93">
      <c r="A171" s="19">
        <v>130</v>
      </c>
      <c r="B171" s="19" t="s">
        <v>36</v>
      </c>
      <c r="C171" s="19" t="s">
        <v>69</v>
      </c>
      <c r="D171" s="19" t="s">
        <v>78</v>
      </c>
      <c r="E171" s="65" t="s">
        <v>80</v>
      </c>
      <c r="F171" s="19" t="str">
        <f t="shared" si="2"/>
        <v>guidance</v>
      </c>
      <c r="G171" s="65" t="s">
        <v>305</v>
      </c>
    </row>
    <row r="172" spans="1:7" ht="106.2">
      <c r="A172" s="19">
        <v>131</v>
      </c>
      <c r="B172" s="19" t="s">
        <v>36</v>
      </c>
      <c r="C172" s="19" t="s">
        <v>69</v>
      </c>
      <c r="D172" s="19" t="s">
        <v>78</v>
      </c>
      <c r="E172" s="65" t="s">
        <v>80</v>
      </c>
      <c r="F172" s="19" t="str">
        <f t="shared" si="2"/>
        <v>guidance</v>
      </c>
      <c r="G172" s="65" t="s">
        <v>306</v>
      </c>
    </row>
    <row r="173" spans="1:7" ht="27">
      <c r="A173" s="19">
        <v>131</v>
      </c>
      <c r="B173" s="19" t="s">
        <v>36</v>
      </c>
      <c r="C173" s="19" t="s">
        <v>69</v>
      </c>
      <c r="D173" s="19" t="s">
        <v>78</v>
      </c>
      <c r="E173" s="65" t="s">
        <v>80</v>
      </c>
      <c r="F173" s="19" t="str">
        <f t="shared" si="2"/>
        <v>guidance</v>
      </c>
      <c r="G173" s="65" t="s">
        <v>307</v>
      </c>
    </row>
    <row r="174" spans="1:7" ht="27">
      <c r="A174" s="19">
        <v>131</v>
      </c>
      <c r="B174" s="19" t="s">
        <v>36</v>
      </c>
      <c r="C174" s="19" t="s">
        <v>69</v>
      </c>
      <c r="D174" s="19" t="s">
        <v>78</v>
      </c>
      <c r="E174" s="65" t="s">
        <v>80</v>
      </c>
      <c r="F174" s="19" t="str">
        <f t="shared" si="2"/>
        <v>guidance</v>
      </c>
      <c r="G174" s="65" t="s">
        <v>308</v>
      </c>
    </row>
    <row r="175" spans="1:7" ht="53.4">
      <c r="A175" s="19">
        <v>131</v>
      </c>
      <c r="B175" s="19" t="s">
        <v>36</v>
      </c>
      <c r="C175" s="19" t="s">
        <v>69</v>
      </c>
      <c r="D175" s="19" t="s">
        <v>78</v>
      </c>
      <c r="E175" s="65" t="s">
        <v>80</v>
      </c>
      <c r="F175" s="19" t="str">
        <f t="shared" si="2"/>
        <v>guidance</v>
      </c>
      <c r="G175" s="65" t="s">
        <v>309</v>
      </c>
    </row>
    <row r="176" spans="1:7" ht="27">
      <c r="A176" s="19">
        <v>131</v>
      </c>
      <c r="B176" s="19" t="s">
        <v>36</v>
      </c>
      <c r="C176" s="19" t="s">
        <v>69</v>
      </c>
      <c r="D176" s="19" t="s">
        <v>78</v>
      </c>
      <c r="E176" s="65" t="s">
        <v>80</v>
      </c>
      <c r="F176" s="19" t="str">
        <f t="shared" si="2"/>
        <v>guidance</v>
      </c>
      <c r="G176" s="65" t="s">
        <v>310</v>
      </c>
    </row>
    <row r="177" spans="1:11" ht="27">
      <c r="A177" s="19">
        <v>131</v>
      </c>
      <c r="B177" s="19" t="s">
        <v>36</v>
      </c>
      <c r="C177" s="19" t="s">
        <v>69</v>
      </c>
      <c r="D177" s="19" t="s">
        <v>78</v>
      </c>
      <c r="E177" s="65" t="s">
        <v>80</v>
      </c>
      <c r="F177" s="19" t="str">
        <f t="shared" si="2"/>
        <v>guidance</v>
      </c>
      <c r="G177" s="65" t="s">
        <v>311</v>
      </c>
    </row>
    <row r="178" spans="1:11" ht="79.8">
      <c r="A178" s="19">
        <v>132</v>
      </c>
      <c r="B178" s="19" t="s">
        <v>36</v>
      </c>
      <c r="C178" s="19" t="s">
        <v>69</v>
      </c>
      <c r="D178" s="19" t="s">
        <v>78</v>
      </c>
      <c r="E178" s="65" t="s">
        <v>80</v>
      </c>
      <c r="F178" s="19" t="str">
        <f t="shared" si="2"/>
        <v>guidance</v>
      </c>
      <c r="G178" s="65" t="s">
        <v>312</v>
      </c>
      <c r="H178" s="19" t="s">
        <v>313</v>
      </c>
    </row>
    <row r="179" spans="1:11" ht="119.4">
      <c r="A179" s="19">
        <v>133</v>
      </c>
      <c r="B179" s="19" t="s">
        <v>36</v>
      </c>
      <c r="C179" s="19" t="s">
        <v>69</v>
      </c>
      <c r="D179" s="19" t="s">
        <v>78</v>
      </c>
      <c r="E179" s="65" t="s">
        <v>80</v>
      </c>
      <c r="F179" s="19" t="str">
        <f t="shared" si="2"/>
        <v>guidance</v>
      </c>
      <c r="G179" s="65" t="s">
        <v>314</v>
      </c>
      <c r="H179" s="19" t="s">
        <v>203</v>
      </c>
    </row>
    <row r="180" spans="1:11" ht="27">
      <c r="A180" s="19" t="s">
        <v>6</v>
      </c>
      <c r="B180" s="19" t="s">
        <v>36</v>
      </c>
      <c r="C180" s="19" t="s">
        <v>69</v>
      </c>
      <c r="D180" s="19" t="s">
        <v>82</v>
      </c>
      <c r="E180" s="65" t="s">
        <v>83</v>
      </c>
      <c r="F180" s="19" t="str">
        <f t="shared" si="2"/>
        <v>datapoint</v>
      </c>
      <c r="G180" s="65" t="s">
        <v>413</v>
      </c>
      <c r="I180" s="19" t="s">
        <v>191</v>
      </c>
      <c r="K180" s="19" t="s">
        <v>805</v>
      </c>
    </row>
    <row r="181" spans="1:11">
      <c r="A181" s="19" t="s">
        <v>7</v>
      </c>
      <c r="B181" s="19" t="s">
        <v>36</v>
      </c>
      <c r="C181" s="19" t="s">
        <v>69</v>
      </c>
      <c r="D181" s="19" t="s">
        <v>82</v>
      </c>
      <c r="E181" s="65" t="s">
        <v>83</v>
      </c>
      <c r="F181" s="19" t="str">
        <f t="shared" si="2"/>
        <v>datapoint</v>
      </c>
      <c r="G181" s="65" t="s">
        <v>414</v>
      </c>
      <c r="I181" s="19" t="s">
        <v>116</v>
      </c>
    </row>
    <row r="182" spans="1:11">
      <c r="A182" s="19" t="s">
        <v>7</v>
      </c>
      <c r="B182" s="19" t="s">
        <v>36</v>
      </c>
      <c r="C182" s="19" t="s">
        <v>69</v>
      </c>
      <c r="D182" s="19" t="s">
        <v>82</v>
      </c>
      <c r="E182" s="65" t="s">
        <v>83</v>
      </c>
      <c r="F182" s="19" t="str">
        <f t="shared" si="2"/>
        <v>datapoint</v>
      </c>
      <c r="G182" s="65" t="s">
        <v>415</v>
      </c>
      <c r="I182" s="19" t="s">
        <v>191</v>
      </c>
      <c r="K182" s="19" t="s">
        <v>805</v>
      </c>
    </row>
    <row r="183" spans="1:11">
      <c r="A183" s="19" t="s">
        <v>7</v>
      </c>
      <c r="B183" s="19" t="s">
        <v>36</v>
      </c>
      <c r="C183" s="19" t="s">
        <v>69</v>
      </c>
      <c r="D183" s="19" t="s">
        <v>82</v>
      </c>
      <c r="E183" s="65" t="s">
        <v>83</v>
      </c>
      <c r="F183" s="19" t="str">
        <f t="shared" si="2"/>
        <v>datapoint</v>
      </c>
      <c r="G183" s="65" t="s">
        <v>412</v>
      </c>
      <c r="I183" s="19" t="s">
        <v>191</v>
      </c>
      <c r="K183" s="19" t="s">
        <v>805</v>
      </c>
    </row>
    <row r="184" spans="1:11">
      <c r="A184" s="19" t="s">
        <v>7</v>
      </c>
      <c r="B184" s="19" t="s">
        <v>36</v>
      </c>
      <c r="C184" s="19" t="s">
        <v>69</v>
      </c>
      <c r="D184" s="19" t="s">
        <v>82</v>
      </c>
      <c r="E184" s="65" t="s">
        <v>83</v>
      </c>
      <c r="F184" s="19" t="str">
        <f t="shared" si="2"/>
        <v>datapoint</v>
      </c>
      <c r="G184" s="65" t="s">
        <v>84</v>
      </c>
      <c r="I184" s="19" t="s">
        <v>191</v>
      </c>
      <c r="K184" s="19" t="s">
        <v>805</v>
      </c>
    </row>
    <row r="185" spans="1:11">
      <c r="A185" s="19" t="s">
        <v>7</v>
      </c>
      <c r="B185" s="19" t="s">
        <v>36</v>
      </c>
      <c r="C185" s="19" t="s">
        <v>69</v>
      </c>
      <c r="D185" s="19" t="s">
        <v>82</v>
      </c>
      <c r="E185" s="65" t="s">
        <v>83</v>
      </c>
      <c r="F185" s="19" t="str">
        <f t="shared" si="2"/>
        <v>datapoint</v>
      </c>
      <c r="G185" s="65" t="s">
        <v>85</v>
      </c>
      <c r="I185" s="19" t="s">
        <v>191</v>
      </c>
      <c r="K185" s="19" t="s">
        <v>805</v>
      </c>
    </row>
    <row r="186" spans="1:11" ht="106.2">
      <c r="A186" s="19">
        <v>134</v>
      </c>
      <c r="B186" s="19" t="s">
        <v>36</v>
      </c>
      <c r="C186" s="19" t="s">
        <v>69</v>
      </c>
      <c r="D186" s="19" t="s">
        <v>82</v>
      </c>
      <c r="E186" s="19" t="s">
        <v>83</v>
      </c>
      <c r="F186" s="19" t="str">
        <f t="shared" si="2"/>
        <v>guidance</v>
      </c>
      <c r="G186" s="65" t="s">
        <v>350</v>
      </c>
    </row>
    <row r="187" spans="1:11" ht="79.8">
      <c r="A187" s="19">
        <v>135</v>
      </c>
      <c r="B187" s="19" t="s">
        <v>36</v>
      </c>
      <c r="C187" s="19" t="s">
        <v>69</v>
      </c>
      <c r="D187" s="19" t="s">
        <v>82</v>
      </c>
      <c r="E187" s="19" t="s">
        <v>83</v>
      </c>
      <c r="F187" s="19" t="str">
        <f t="shared" si="2"/>
        <v>guidance</v>
      </c>
      <c r="G187" s="65" t="s">
        <v>351</v>
      </c>
    </row>
    <row r="188" spans="1:11" ht="27">
      <c r="A188" s="19">
        <v>136</v>
      </c>
      <c r="B188" s="19" t="s">
        <v>36</v>
      </c>
      <c r="C188" s="19" t="s">
        <v>69</v>
      </c>
      <c r="D188" s="19" t="s">
        <v>82</v>
      </c>
      <c r="E188" s="19" t="s">
        <v>83</v>
      </c>
      <c r="F188" s="19" t="str">
        <f t="shared" si="2"/>
        <v>guidance</v>
      </c>
      <c r="G188" s="65" t="s">
        <v>352</v>
      </c>
    </row>
    <row r="189" spans="1:11" ht="27">
      <c r="A189" s="19">
        <v>137</v>
      </c>
      <c r="B189" s="19" t="s">
        <v>36</v>
      </c>
      <c r="C189" s="19" t="s">
        <v>69</v>
      </c>
      <c r="D189" s="19" t="s">
        <v>82</v>
      </c>
      <c r="E189" s="19" t="s">
        <v>83</v>
      </c>
      <c r="F189" s="19" t="str">
        <f t="shared" si="2"/>
        <v>guidance</v>
      </c>
      <c r="G189" s="65" t="s">
        <v>353</v>
      </c>
      <c r="H189" s="19" t="s">
        <v>203</v>
      </c>
    </row>
    <row r="190" spans="1:11" ht="40.200000000000003">
      <c r="A190" s="19">
        <v>138</v>
      </c>
      <c r="B190" s="19" t="s">
        <v>36</v>
      </c>
      <c r="C190" s="19" t="s">
        <v>69</v>
      </c>
      <c r="D190" s="19" t="s">
        <v>82</v>
      </c>
      <c r="E190" s="19" t="s">
        <v>83</v>
      </c>
      <c r="F190" s="19" t="str">
        <f t="shared" si="2"/>
        <v>guidance</v>
      </c>
      <c r="G190" s="65" t="s">
        <v>354</v>
      </c>
    </row>
    <row r="191" spans="1:11" ht="79.8">
      <c r="A191" s="19">
        <v>139</v>
      </c>
      <c r="B191" s="19" t="s">
        <v>36</v>
      </c>
      <c r="C191" s="19" t="s">
        <v>69</v>
      </c>
      <c r="D191" s="19" t="s">
        <v>82</v>
      </c>
      <c r="E191" s="19" t="s">
        <v>83</v>
      </c>
      <c r="F191" s="19" t="str">
        <f t="shared" si="2"/>
        <v>guidance</v>
      </c>
      <c r="G191" s="65" t="s">
        <v>355</v>
      </c>
    </row>
    <row r="192" spans="1:11" ht="53.4">
      <c r="A192" s="19">
        <v>140</v>
      </c>
      <c r="B192" s="19" t="s">
        <v>36</v>
      </c>
      <c r="C192" s="19" t="s">
        <v>69</v>
      </c>
      <c r="D192" s="19" t="s">
        <v>82</v>
      </c>
      <c r="E192" s="19" t="s">
        <v>83</v>
      </c>
      <c r="F192" s="19" t="str">
        <f t="shared" si="2"/>
        <v>guidance</v>
      </c>
      <c r="G192" s="65" t="s">
        <v>356</v>
      </c>
    </row>
    <row r="193" spans="1:11">
      <c r="A193" s="19">
        <v>141</v>
      </c>
      <c r="B193" s="19" t="s">
        <v>36</v>
      </c>
      <c r="C193" s="19" t="s">
        <v>69</v>
      </c>
      <c r="D193" s="19" t="s">
        <v>82</v>
      </c>
      <c r="E193" s="19" t="s">
        <v>83</v>
      </c>
      <c r="F193" s="19" t="str">
        <f t="shared" si="2"/>
        <v>guidance</v>
      </c>
      <c r="G193" s="65" t="s">
        <v>357</v>
      </c>
      <c r="H193" s="19" t="s">
        <v>203</v>
      </c>
    </row>
    <row r="194" spans="1:11" ht="53.4">
      <c r="A194" s="19" t="s">
        <v>8</v>
      </c>
      <c r="B194" s="19" t="s">
        <v>36</v>
      </c>
      <c r="C194" s="19" t="s">
        <v>69</v>
      </c>
      <c r="D194" s="19" t="s">
        <v>86</v>
      </c>
      <c r="E194" s="19" t="s">
        <v>87</v>
      </c>
      <c r="F194" s="19" t="str">
        <f t="shared" si="2"/>
        <v>datapoint</v>
      </c>
      <c r="G194" s="65" t="s">
        <v>88</v>
      </c>
      <c r="I194" s="19" t="s">
        <v>191</v>
      </c>
      <c r="K194" s="19" t="s">
        <v>689</v>
      </c>
    </row>
    <row r="195" spans="1:11" ht="66.599999999999994">
      <c r="A195" s="19" t="s">
        <v>9</v>
      </c>
      <c r="B195" s="19" t="s">
        <v>36</v>
      </c>
      <c r="C195" s="19" t="s">
        <v>69</v>
      </c>
      <c r="D195" s="19" t="s">
        <v>86</v>
      </c>
      <c r="E195" s="19" t="s">
        <v>87</v>
      </c>
      <c r="F195" s="19" t="str">
        <f t="shared" ref="F195:F258" si="3">IF(VALUE(A195)&gt;66,"guidance","datapoint")</f>
        <v>datapoint</v>
      </c>
      <c r="G195" s="65" t="s">
        <v>89</v>
      </c>
      <c r="I195" s="19" t="s">
        <v>191</v>
      </c>
      <c r="K195" s="19" t="s">
        <v>689</v>
      </c>
    </row>
    <row r="196" spans="1:11" ht="119.4">
      <c r="A196" s="19">
        <v>142</v>
      </c>
      <c r="B196" s="19" t="s">
        <v>36</v>
      </c>
      <c r="C196" s="19" t="s">
        <v>69</v>
      </c>
      <c r="D196" s="19" t="s">
        <v>86</v>
      </c>
      <c r="E196" s="19" t="s">
        <v>87</v>
      </c>
      <c r="F196" s="19" t="str">
        <f t="shared" si="3"/>
        <v>guidance</v>
      </c>
      <c r="G196" s="65" t="s">
        <v>358</v>
      </c>
    </row>
    <row r="197" spans="1:11" ht="79.8">
      <c r="A197" s="19">
        <v>143</v>
      </c>
      <c r="B197" s="19" t="s">
        <v>36</v>
      </c>
      <c r="C197" s="19" t="s">
        <v>69</v>
      </c>
      <c r="D197" s="19" t="s">
        <v>86</v>
      </c>
      <c r="E197" s="19" t="s">
        <v>87</v>
      </c>
      <c r="F197" s="19" t="str">
        <f t="shared" si="3"/>
        <v>guidance</v>
      </c>
      <c r="G197" s="65" t="s">
        <v>359</v>
      </c>
    </row>
    <row r="198" spans="1:11" ht="53.4">
      <c r="A198" s="19">
        <v>144</v>
      </c>
      <c r="B198" s="19" t="s">
        <v>36</v>
      </c>
      <c r="C198" s="19" t="s">
        <v>69</v>
      </c>
      <c r="D198" s="19" t="s">
        <v>86</v>
      </c>
      <c r="E198" s="19" t="s">
        <v>87</v>
      </c>
      <c r="F198" s="19" t="str">
        <f t="shared" si="3"/>
        <v>guidance</v>
      </c>
      <c r="G198" s="65" t="s">
        <v>360</v>
      </c>
    </row>
    <row r="199" spans="1:11" ht="27">
      <c r="A199" s="19">
        <v>144</v>
      </c>
      <c r="B199" s="19" t="s">
        <v>36</v>
      </c>
      <c r="C199" s="19" t="s">
        <v>69</v>
      </c>
      <c r="D199" s="19" t="s">
        <v>86</v>
      </c>
      <c r="E199" s="19" t="s">
        <v>87</v>
      </c>
      <c r="F199" s="19" t="str">
        <f t="shared" si="3"/>
        <v>guidance</v>
      </c>
      <c r="G199" s="65" t="s">
        <v>361</v>
      </c>
    </row>
    <row r="200" spans="1:11" ht="40.200000000000003">
      <c r="A200" s="19">
        <v>144</v>
      </c>
      <c r="B200" s="19" t="s">
        <v>36</v>
      </c>
      <c r="C200" s="19" t="s">
        <v>69</v>
      </c>
      <c r="D200" s="19" t="s">
        <v>86</v>
      </c>
      <c r="E200" s="19" t="s">
        <v>87</v>
      </c>
      <c r="F200" s="19" t="str">
        <f t="shared" si="3"/>
        <v>guidance</v>
      </c>
      <c r="G200" s="65" t="s">
        <v>362</v>
      </c>
    </row>
    <row r="201" spans="1:11" ht="93">
      <c r="A201" s="19">
        <v>144</v>
      </c>
      <c r="B201" s="19" t="s">
        <v>36</v>
      </c>
      <c r="C201" s="19" t="s">
        <v>69</v>
      </c>
      <c r="D201" s="19" t="s">
        <v>86</v>
      </c>
      <c r="E201" s="19" t="s">
        <v>87</v>
      </c>
      <c r="F201" s="19" t="str">
        <f t="shared" si="3"/>
        <v>guidance</v>
      </c>
      <c r="G201" s="65" t="s">
        <v>363</v>
      </c>
    </row>
    <row r="202" spans="1:11">
      <c r="A202" s="19">
        <v>144</v>
      </c>
      <c r="B202" s="19" t="s">
        <v>36</v>
      </c>
      <c r="C202" s="19" t="s">
        <v>69</v>
      </c>
      <c r="D202" s="19" t="s">
        <v>86</v>
      </c>
      <c r="E202" s="19" t="s">
        <v>87</v>
      </c>
      <c r="F202" s="19" t="str">
        <f t="shared" si="3"/>
        <v>guidance</v>
      </c>
      <c r="G202" s="65" t="s">
        <v>364</v>
      </c>
    </row>
    <row r="203" spans="1:11" ht="66.599999999999994">
      <c r="A203" s="19">
        <v>145</v>
      </c>
      <c r="B203" s="19" t="s">
        <v>36</v>
      </c>
      <c r="C203" s="19" t="s">
        <v>69</v>
      </c>
      <c r="D203" s="19" t="s">
        <v>86</v>
      </c>
      <c r="E203" s="19" t="s">
        <v>87</v>
      </c>
      <c r="F203" s="19" t="str">
        <f t="shared" si="3"/>
        <v>guidance</v>
      </c>
      <c r="G203" s="65" t="s">
        <v>365</v>
      </c>
    </row>
    <row r="204" spans="1:11" ht="93">
      <c r="A204" s="19">
        <v>146</v>
      </c>
      <c r="B204" s="19" t="s">
        <v>36</v>
      </c>
      <c r="C204" s="19" t="s">
        <v>69</v>
      </c>
      <c r="D204" s="19" t="s">
        <v>86</v>
      </c>
      <c r="E204" s="19" t="s">
        <v>87</v>
      </c>
      <c r="F204" s="19" t="str">
        <f t="shared" si="3"/>
        <v>guidance</v>
      </c>
      <c r="G204" s="65" t="s">
        <v>366</v>
      </c>
    </row>
    <row r="205" spans="1:11" ht="40.200000000000003">
      <c r="A205" s="19">
        <v>147</v>
      </c>
      <c r="B205" s="19" t="s">
        <v>36</v>
      </c>
      <c r="C205" s="19" t="s">
        <v>69</v>
      </c>
      <c r="D205" s="19" t="s">
        <v>86</v>
      </c>
      <c r="E205" s="19" t="s">
        <v>87</v>
      </c>
      <c r="F205" s="19" t="str">
        <f t="shared" si="3"/>
        <v>guidance</v>
      </c>
      <c r="G205" s="65" t="s">
        <v>367</v>
      </c>
    </row>
    <row r="206" spans="1:11" ht="27">
      <c r="A206" s="19">
        <v>147</v>
      </c>
      <c r="B206" s="19" t="s">
        <v>36</v>
      </c>
      <c r="C206" s="19" t="s">
        <v>69</v>
      </c>
      <c r="D206" s="19" t="s">
        <v>86</v>
      </c>
      <c r="E206" s="19" t="s">
        <v>87</v>
      </c>
      <c r="F206" s="19" t="str">
        <f t="shared" si="3"/>
        <v>guidance</v>
      </c>
      <c r="G206" s="65" t="s">
        <v>368</v>
      </c>
    </row>
    <row r="207" spans="1:11" ht="40.200000000000003">
      <c r="A207" s="19">
        <v>147</v>
      </c>
      <c r="B207" s="19" t="s">
        <v>36</v>
      </c>
      <c r="C207" s="19" t="s">
        <v>69</v>
      </c>
      <c r="D207" s="19" t="s">
        <v>86</v>
      </c>
      <c r="E207" s="19" t="s">
        <v>87</v>
      </c>
      <c r="F207" s="19" t="str">
        <f t="shared" si="3"/>
        <v>guidance</v>
      </c>
      <c r="G207" s="65" t="s">
        <v>369</v>
      </c>
    </row>
    <row r="208" spans="1:11" ht="27">
      <c r="A208" s="19">
        <v>147</v>
      </c>
      <c r="B208" s="19" t="s">
        <v>36</v>
      </c>
      <c r="C208" s="19" t="s">
        <v>69</v>
      </c>
      <c r="D208" s="19" t="s">
        <v>86</v>
      </c>
      <c r="E208" s="19" t="s">
        <v>87</v>
      </c>
      <c r="F208" s="19" t="str">
        <f t="shared" si="3"/>
        <v>guidance</v>
      </c>
      <c r="G208" s="65" t="s">
        <v>370</v>
      </c>
    </row>
    <row r="209" spans="1:8" ht="27">
      <c r="A209" s="19">
        <v>147</v>
      </c>
      <c r="B209" s="19" t="s">
        <v>36</v>
      </c>
      <c r="C209" s="19" t="s">
        <v>69</v>
      </c>
      <c r="D209" s="19" t="s">
        <v>86</v>
      </c>
      <c r="E209" s="19" t="s">
        <v>87</v>
      </c>
      <c r="F209" s="19" t="str">
        <f t="shared" si="3"/>
        <v>guidance</v>
      </c>
      <c r="G209" s="65" t="s">
        <v>371</v>
      </c>
    </row>
    <row r="210" spans="1:8" ht="27">
      <c r="A210" s="19">
        <v>147</v>
      </c>
      <c r="B210" s="19" t="s">
        <v>36</v>
      </c>
      <c r="C210" s="19" t="s">
        <v>69</v>
      </c>
      <c r="D210" s="19" t="s">
        <v>86</v>
      </c>
      <c r="E210" s="19" t="s">
        <v>87</v>
      </c>
      <c r="F210" s="19" t="str">
        <f t="shared" si="3"/>
        <v>guidance</v>
      </c>
      <c r="G210" s="65" t="s">
        <v>372</v>
      </c>
    </row>
    <row r="211" spans="1:8" ht="40.200000000000003">
      <c r="A211" s="19">
        <v>147</v>
      </c>
      <c r="B211" s="19" t="s">
        <v>36</v>
      </c>
      <c r="C211" s="19" t="s">
        <v>69</v>
      </c>
      <c r="D211" s="19" t="s">
        <v>86</v>
      </c>
      <c r="E211" s="19" t="s">
        <v>87</v>
      </c>
      <c r="F211" s="19" t="str">
        <f t="shared" si="3"/>
        <v>guidance</v>
      </c>
      <c r="G211" s="65" t="s">
        <v>373</v>
      </c>
    </row>
    <row r="212" spans="1:8" ht="172.2">
      <c r="A212" s="19">
        <v>148</v>
      </c>
      <c r="B212" s="19" t="s">
        <v>36</v>
      </c>
      <c r="C212" s="19" t="s">
        <v>69</v>
      </c>
      <c r="D212" s="19" t="s">
        <v>86</v>
      </c>
      <c r="E212" s="19" t="s">
        <v>87</v>
      </c>
      <c r="F212" s="19" t="str">
        <f t="shared" si="3"/>
        <v>guidance</v>
      </c>
      <c r="G212" s="65" t="s">
        <v>383</v>
      </c>
      <c r="H212" s="19" t="s">
        <v>382</v>
      </c>
    </row>
    <row r="213" spans="1:8" ht="79.8">
      <c r="A213" s="19">
        <v>149</v>
      </c>
      <c r="B213" s="19" t="s">
        <v>36</v>
      </c>
      <c r="C213" s="19" t="s">
        <v>69</v>
      </c>
      <c r="D213" s="19" t="s">
        <v>86</v>
      </c>
      <c r="E213" s="19" t="s">
        <v>87</v>
      </c>
      <c r="F213" s="19" t="str">
        <f t="shared" si="3"/>
        <v>guidance</v>
      </c>
      <c r="G213" s="65" t="s">
        <v>384</v>
      </c>
    </row>
    <row r="214" spans="1:8" ht="79.8">
      <c r="A214" s="19">
        <v>150</v>
      </c>
      <c r="B214" s="19" t="s">
        <v>36</v>
      </c>
      <c r="C214" s="19" t="s">
        <v>69</v>
      </c>
      <c r="D214" s="19" t="s">
        <v>86</v>
      </c>
      <c r="E214" s="19" t="s">
        <v>87</v>
      </c>
      <c r="F214" s="19" t="str">
        <f t="shared" si="3"/>
        <v>guidance</v>
      </c>
      <c r="G214" s="65" t="s">
        <v>374</v>
      </c>
    </row>
    <row r="215" spans="1:8" ht="53.4">
      <c r="A215" s="19">
        <v>151</v>
      </c>
      <c r="B215" s="19" t="s">
        <v>36</v>
      </c>
      <c r="C215" s="19" t="s">
        <v>69</v>
      </c>
      <c r="D215" s="19" t="s">
        <v>86</v>
      </c>
      <c r="E215" s="19" t="s">
        <v>87</v>
      </c>
      <c r="F215" s="19" t="str">
        <f t="shared" si="3"/>
        <v>guidance</v>
      </c>
      <c r="G215" s="65" t="s">
        <v>375</v>
      </c>
    </row>
    <row r="216" spans="1:8">
      <c r="A216" s="19">
        <v>152</v>
      </c>
      <c r="B216" s="19" t="s">
        <v>36</v>
      </c>
      <c r="C216" s="19" t="s">
        <v>69</v>
      </c>
      <c r="D216" s="19" t="s">
        <v>86</v>
      </c>
      <c r="E216" s="19" t="s">
        <v>87</v>
      </c>
      <c r="F216" s="19" t="str">
        <f t="shared" si="3"/>
        <v>guidance</v>
      </c>
      <c r="G216" s="65" t="s">
        <v>376</v>
      </c>
    </row>
    <row r="217" spans="1:8">
      <c r="A217" s="19">
        <v>152</v>
      </c>
      <c r="B217" s="19" t="s">
        <v>36</v>
      </c>
      <c r="C217" s="19" t="s">
        <v>69</v>
      </c>
      <c r="D217" s="19" t="s">
        <v>86</v>
      </c>
      <c r="E217" s="19" t="s">
        <v>87</v>
      </c>
      <c r="F217" s="19" t="str">
        <f t="shared" si="3"/>
        <v>guidance</v>
      </c>
      <c r="G217" s="65" t="s">
        <v>377</v>
      </c>
    </row>
    <row r="218" spans="1:8">
      <c r="A218" s="19">
        <v>152</v>
      </c>
      <c r="B218" s="19" t="s">
        <v>36</v>
      </c>
      <c r="C218" s="19" t="s">
        <v>69</v>
      </c>
      <c r="D218" s="19" t="s">
        <v>86</v>
      </c>
      <c r="E218" s="19" t="s">
        <v>87</v>
      </c>
      <c r="F218" s="19" t="str">
        <f t="shared" si="3"/>
        <v>guidance</v>
      </c>
      <c r="G218" s="65" t="s">
        <v>378</v>
      </c>
    </row>
    <row r="219" spans="1:8" ht="40.200000000000003">
      <c r="A219" s="19">
        <v>152</v>
      </c>
      <c r="B219" s="19" t="s">
        <v>36</v>
      </c>
      <c r="C219" s="19" t="s">
        <v>69</v>
      </c>
      <c r="D219" s="19" t="s">
        <v>86</v>
      </c>
      <c r="E219" s="19" t="s">
        <v>87</v>
      </c>
      <c r="F219" s="19" t="str">
        <f t="shared" si="3"/>
        <v>guidance</v>
      </c>
      <c r="G219" s="65" t="s">
        <v>379</v>
      </c>
    </row>
    <row r="220" spans="1:8" ht="40.200000000000003">
      <c r="A220" s="19">
        <v>152</v>
      </c>
      <c r="B220" s="19" t="s">
        <v>36</v>
      </c>
      <c r="C220" s="19" t="s">
        <v>69</v>
      </c>
      <c r="D220" s="19" t="s">
        <v>86</v>
      </c>
      <c r="E220" s="19" t="s">
        <v>87</v>
      </c>
      <c r="F220" s="19" t="str">
        <f t="shared" si="3"/>
        <v>guidance</v>
      </c>
      <c r="G220" s="65" t="s">
        <v>380</v>
      </c>
    </row>
    <row r="221" spans="1:8" ht="27">
      <c r="A221" s="19">
        <v>153</v>
      </c>
      <c r="B221" s="19" t="s">
        <v>36</v>
      </c>
      <c r="C221" s="19" t="s">
        <v>69</v>
      </c>
      <c r="D221" s="19" t="s">
        <v>86</v>
      </c>
      <c r="E221" s="19" t="s">
        <v>87</v>
      </c>
      <c r="F221" s="19" t="str">
        <f t="shared" si="3"/>
        <v>guidance</v>
      </c>
      <c r="G221" s="65" t="s">
        <v>381</v>
      </c>
      <c r="H221" s="19" t="s">
        <v>216</v>
      </c>
    </row>
    <row r="222" spans="1:8" ht="53.4">
      <c r="A222" s="19">
        <v>154</v>
      </c>
      <c r="B222" s="19" t="s">
        <v>36</v>
      </c>
      <c r="C222" s="19" t="s">
        <v>69</v>
      </c>
      <c r="D222" s="19" t="s">
        <v>86</v>
      </c>
      <c r="E222" s="19" t="s">
        <v>87</v>
      </c>
      <c r="F222" s="19" t="str">
        <f t="shared" si="3"/>
        <v>guidance</v>
      </c>
      <c r="G222" s="65" t="s">
        <v>385</v>
      </c>
    </row>
    <row r="223" spans="1:8" ht="40.200000000000003">
      <c r="A223" s="19">
        <v>155</v>
      </c>
      <c r="B223" s="19" t="s">
        <v>36</v>
      </c>
      <c r="C223" s="19" t="s">
        <v>69</v>
      </c>
      <c r="D223" s="19" t="s">
        <v>86</v>
      </c>
      <c r="E223" s="19" t="s">
        <v>87</v>
      </c>
      <c r="F223" s="19" t="str">
        <f t="shared" si="3"/>
        <v>guidance</v>
      </c>
      <c r="G223" s="65" t="s">
        <v>386</v>
      </c>
      <c r="H223" s="19" t="s">
        <v>203</v>
      </c>
    </row>
    <row r="224" spans="1:8" ht="145.80000000000001">
      <c r="A224" s="19">
        <v>156</v>
      </c>
      <c r="B224" s="19" t="s">
        <v>36</v>
      </c>
      <c r="C224" s="19" t="s">
        <v>69</v>
      </c>
      <c r="D224" s="19" t="s">
        <v>86</v>
      </c>
      <c r="E224" s="19" t="s">
        <v>87</v>
      </c>
      <c r="F224" s="19" t="str">
        <f t="shared" si="3"/>
        <v>guidance</v>
      </c>
      <c r="G224" s="65" t="s">
        <v>387</v>
      </c>
    </row>
    <row r="225" spans="1:11" ht="145.80000000000001">
      <c r="A225" s="19">
        <v>157</v>
      </c>
      <c r="B225" s="19" t="s">
        <v>36</v>
      </c>
      <c r="C225" s="19" t="s">
        <v>69</v>
      </c>
      <c r="D225" s="19" t="s">
        <v>86</v>
      </c>
      <c r="E225" s="19" t="s">
        <v>87</v>
      </c>
      <c r="F225" s="19" t="str">
        <f t="shared" si="3"/>
        <v>guidance</v>
      </c>
      <c r="G225" s="65" t="s">
        <v>388</v>
      </c>
      <c r="H225" s="19" t="s">
        <v>216</v>
      </c>
    </row>
    <row r="226" spans="1:11" ht="145.80000000000001">
      <c r="A226" s="19">
        <v>158</v>
      </c>
      <c r="B226" s="19" t="s">
        <v>36</v>
      </c>
      <c r="C226" s="19" t="s">
        <v>69</v>
      </c>
      <c r="D226" s="19" t="s">
        <v>86</v>
      </c>
      <c r="E226" s="19" t="s">
        <v>87</v>
      </c>
      <c r="F226" s="19" t="str">
        <f t="shared" si="3"/>
        <v>guidance</v>
      </c>
      <c r="G226" s="65" t="s">
        <v>389</v>
      </c>
    </row>
    <row r="227" spans="1:11" ht="40.200000000000003">
      <c r="A227" s="19" t="s">
        <v>10</v>
      </c>
      <c r="B227" s="19" t="s">
        <v>36</v>
      </c>
      <c r="C227" s="19" t="s">
        <v>69</v>
      </c>
      <c r="D227" s="19" t="s">
        <v>93</v>
      </c>
      <c r="E227" s="65" t="s">
        <v>90</v>
      </c>
      <c r="F227" s="19" t="str">
        <f t="shared" si="3"/>
        <v>datapoint</v>
      </c>
      <c r="G227" s="65" t="s">
        <v>91</v>
      </c>
      <c r="I227" s="19" t="s">
        <v>187</v>
      </c>
      <c r="K227" s="19" t="s">
        <v>674</v>
      </c>
    </row>
    <row r="228" spans="1:11" ht="40.200000000000003">
      <c r="A228" s="19" t="s">
        <v>11</v>
      </c>
      <c r="B228" s="19" t="s">
        <v>36</v>
      </c>
      <c r="C228" s="19" t="s">
        <v>69</v>
      </c>
      <c r="D228" s="19" t="s">
        <v>93</v>
      </c>
      <c r="E228" s="65" t="s">
        <v>90</v>
      </c>
      <c r="F228" s="19" t="str">
        <f t="shared" si="3"/>
        <v>datapoint</v>
      </c>
      <c r="G228" s="65" t="s">
        <v>41</v>
      </c>
      <c r="H228" s="19" t="s">
        <v>94</v>
      </c>
      <c r="I228" s="19" t="s">
        <v>116</v>
      </c>
      <c r="K228" s="19" t="s">
        <v>674</v>
      </c>
    </row>
    <row r="229" spans="1:11" ht="40.200000000000003">
      <c r="A229" s="19" t="s">
        <v>11</v>
      </c>
      <c r="B229" s="19" t="s">
        <v>36</v>
      </c>
      <c r="C229" s="19" t="s">
        <v>69</v>
      </c>
      <c r="D229" s="19" t="s">
        <v>93</v>
      </c>
      <c r="E229" s="65" t="s">
        <v>90</v>
      </c>
      <c r="F229" s="19" t="str">
        <f t="shared" si="3"/>
        <v>datapoint</v>
      </c>
      <c r="G229" s="65" t="s">
        <v>719</v>
      </c>
      <c r="I229" s="19" t="s">
        <v>191</v>
      </c>
      <c r="K229" s="19" t="s">
        <v>689</v>
      </c>
    </row>
    <row r="230" spans="1:11" ht="40.200000000000003">
      <c r="A230" s="19" t="s">
        <v>11</v>
      </c>
      <c r="B230" s="19" t="s">
        <v>36</v>
      </c>
      <c r="C230" s="19" t="s">
        <v>69</v>
      </c>
      <c r="D230" s="19" t="s">
        <v>93</v>
      </c>
      <c r="E230" s="65" t="s">
        <v>90</v>
      </c>
      <c r="F230" s="19" t="str">
        <f t="shared" si="3"/>
        <v>datapoint</v>
      </c>
      <c r="G230" s="65" t="s">
        <v>720</v>
      </c>
      <c r="I230" s="19" t="s">
        <v>191</v>
      </c>
      <c r="K230" s="19" t="s">
        <v>689</v>
      </c>
    </row>
    <row r="231" spans="1:11" ht="40.200000000000003">
      <c r="A231" s="19" t="s">
        <v>11</v>
      </c>
      <c r="B231" s="19" t="s">
        <v>36</v>
      </c>
      <c r="C231" s="19" t="s">
        <v>69</v>
      </c>
      <c r="D231" s="19" t="s">
        <v>93</v>
      </c>
      <c r="E231" s="65" t="s">
        <v>90</v>
      </c>
      <c r="F231" s="19" t="str">
        <f t="shared" si="3"/>
        <v>datapoint</v>
      </c>
      <c r="G231" s="65" t="s">
        <v>92</v>
      </c>
      <c r="I231" s="19" t="s">
        <v>191</v>
      </c>
      <c r="K231" s="19" t="s">
        <v>806</v>
      </c>
    </row>
    <row r="232" spans="1:11" ht="66.599999999999994">
      <c r="A232" s="19">
        <v>159</v>
      </c>
      <c r="B232" s="19" t="s">
        <v>36</v>
      </c>
      <c r="C232" s="19" t="s">
        <v>69</v>
      </c>
      <c r="D232" s="19" t="s">
        <v>93</v>
      </c>
      <c r="E232" s="65" t="s">
        <v>90</v>
      </c>
      <c r="F232" s="19" t="str">
        <f t="shared" si="3"/>
        <v>guidance</v>
      </c>
      <c r="G232" s="65" t="s">
        <v>390</v>
      </c>
    </row>
    <row r="233" spans="1:11" ht="40.200000000000003">
      <c r="A233" s="19">
        <v>159</v>
      </c>
      <c r="B233" s="19" t="s">
        <v>36</v>
      </c>
      <c r="C233" s="19" t="s">
        <v>69</v>
      </c>
      <c r="D233" s="19" t="s">
        <v>93</v>
      </c>
      <c r="E233" s="65" t="s">
        <v>90</v>
      </c>
      <c r="F233" s="19" t="str">
        <f t="shared" si="3"/>
        <v>guidance</v>
      </c>
      <c r="G233" s="65" t="s">
        <v>391</v>
      </c>
    </row>
    <row r="234" spans="1:11" ht="93">
      <c r="A234" s="19">
        <v>159</v>
      </c>
      <c r="B234" s="19" t="s">
        <v>36</v>
      </c>
      <c r="C234" s="19" t="s">
        <v>69</v>
      </c>
      <c r="D234" s="19" t="s">
        <v>93</v>
      </c>
      <c r="E234" s="65" t="s">
        <v>90</v>
      </c>
      <c r="F234" s="19" t="str">
        <f t="shared" si="3"/>
        <v>guidance</v>
      </c>
      <c r="G234" s="65" t="s">
        <v>392</v>
      </c>
    </row>
    <row r="235" spans="1:11" ht="53.4">
      <c r="A235" s="19">
        <v>159</v>
      </c>
      <c r="B235" s="19" t="s">
        <v>36</v>
      </c>
      <c r="C235" s="19" t="s">
        <v>69</v>
      </c>
      <c r="D235" s="19" t="s">
        <v>93</v>
      </c>
      <c r="E235" s="65" t="s">
        <v>90</v>
      </c>
      <c r="F235" s="19" t="str">
        <f t="shared" si="3"/>
        <v>guidance</v>
      </c>
      <c r="G235" s="65" t="s">
        <v>393</v>
      </c>
    </row>
    <row r="236" spans="1:11" ht="40.200000000000003">
      <c r="A236" s="19">
        <v>160</v>
      </c>
      <c r="B236" s="19" t="s">
        <v>36</v>
      </c>
      <c r="C236" s="19" t="s">
        <v>69</v>
      </c>
      <c r="D236" s="19" t="s">
        <v>93</v>
      </c>
      <c r="E236" s="65" t="s">
        <v>90</v>
      </c>
      <c r="F236" s="19" t="str">
        <f t="shared" si="3"/>
        <v>guidance</v>
      </c>
      <c r="G236" s="65" t="s">
        <v>394</v>
      </c>
    </row>
    <row r="237" spans="1:11" ht="79.8">
      <c r="A237" s="19">
        <v>161</v>
      </c>
      <c r="B237" s="19" t="s">
        <v>36</v>
      </c>
      <c r="C237" s="19" t="s">
        <v>69</v>
      </c>
      <c r="D237" s="19" t="s">
        <v>93</v>
      </c>
      <c r="E237" s="65" t="s">
        <v>90</v>
      </c>
      <c r="F237" s="19" t="str">
        <f t="shared" si="3"/>
        <v>guidance</v>
      </c>
      <c r="G237" s="65" t="s">
        <v>395</v>
      </c>
    </row>
    <row r="238" spans="1:11" ht="40.200000000000003">
      <c r="A238" s="19">
        <v>162</v>
      </c>
      <c r="B238" s="19" t="s">
        <v>36</v>
      </c>
      <c r="C238" s="19" t="s">
        <v>69</v>
      </c>
      <c r="D238" s="19" t="s">
        <v>93</v>
      </c>
      <c r="E238" s="65" t="s">
        <v>90</v>
      </c>
      <c r="F238" s="19" t="str">
        <f t="shared" si="3"/>
        <v>guidance</v>
      </c>
      <c r="G238" s="65" t="s">
        <v>396</v>
      </c>
    </row>
    <row r="239" spans="1:11" ht="53.4">
      <c r="A239" s="19">
        <v>163</v>
      </c>
      <c r="B239" s="19" t="s">
        <v>36</v>
      </c>
      <c r="C239" s="19" t="s">
        <v>69</v>
      </c>
      <c r="D239" s="19" t="s">
        <v>93</v>
      </c>
      <c r="E239" s="65" t="s">
        <v>90</v>
      </c>
      <c r="F239" s="19" t="str">
        <f t="shared" si="3"/>
        <v>guidance</v>
      </c>
      <c r="G239" s="65" t="s">
        <v>397</v>
      </c>
    </row>
    <row r="240" spans="1:11" ht="66.599999999999994">
      <c r="A240" s="19">
        <v>163</v>
      </c>
      <c r="B240" s="19" t="s">
        <v>36</v>
      </c>
      <c r="C240" s="19" t="s">
        <v>69</v>
      </c>
      <c r="D240" s="19" t="s">
        <v>93</v>
      </c>
      <c r="E240" s="65" t="s">
        <v>90</v>
      </c>
      <c r="F240" s="19" t="str">
        <f t="shared" si="3"/>
        <v>guidance</v>
      </c>
      <c r="G240" s="65" t="s">
        <v>398</v>
      </c>
    </row>
    <row r="241" spans="1:8" ht="40.200000000000003">
      <c r="A241" s="19">
        <v>163</v>
      </c>
      <c r="B241" s="19" t="s">
        <v>36</v>
      </c>
      <c r="C241" s="19" t="s">
        <v>69</v>
      </c>
      <c r="D241" s="19" t="s">
        <v>93</v>
      </c>
      <c r="E241" s="65" t="s">
        <v>90</v>
      </c>
      <c r="F241" s="19" t="str">
        <f t="shared" si="3"/>
        <v>guidance</v>
      </c>
      <c r="G241" s="65" t="s">
        <v>399</v>
      </c>
    </row>
    <row r="242" spans="1:8" ht="40.200000000000003">
      <c r="A242" s="19">
        <v>163</v>
      </c>
      <c r="B242" s="19" t="s">
        <v>36</v>
      </c>
      <c r="C242" s="19" t="s">
        <v>69</v>
      </c>
      <c r="D242" s="19" t="s">
        <v>93</v>
      </c>
      <c r="E242" s="65" t="s">
        <v>90</v>
      </c>
      <c r="F242" s="19" t="str">
        <f t="shared" si="3"/>
        <v>guidance</v>
      </c>
      <c r="G242" s="65" t="s">
        <v>400</v>
      </c>
    </row>
    <row r="243" spans="1:8" ht="40.200000000000003">
      <c r="A243" s="19">
        <v>163</v>
      </c>
      <c r="B243" s="19" t="s">
        <v>36</v>
      </c>
      <c r="C243" s="19" t="s">
        <v>69</v>
      </c>
      <c r="D243" s="19" t="s">
        <v>93</v>
      </c>
      <c r="E243" s="65" t="s">
        <v>90</v>
      </c>
      <c r="F243" s="19" t="str">
        <f t="shared" si="3"/>
        <v>guidance</v>
      </c>
      <c r="G243" s="65" t="s">
        <v>401</v>
      </c>
    </row>
    <row r="244" spans="1:8" ht="66.599999999999994">
      <c r="A244" s="19">
        <v>164</v>
      </c>
      <c r="B244" s="19" t="s">
        <v>36</v>
      </c>
      <c r="C244" s="19" t="s">
        <v>69</v>
      </c>
      <c r="D244" s="19" t="s">
        <v>93</v>
      </c>
      <c r="E244" s="65" t="s">
        <v>90</v>
      </c>
      <c r="F244" s="19" t="str">
        <f t="shared" si="3"/>
        <v>guidance</v>
      </c>
      <c r="G244" s="65" t="s">
        <v>402</v>
      </c>
    </row>
    <row r="245" spans="1:8" ht="93">
      <c r="A245" s="19">
        <v>165</v>
      </c>
      <c r="B245" s="19" t="s">
        <v>36</v>
      </c>
      <c r="C245" s="19" t="s">
        <v>69</v>
      </c>
      <c r="D245" s="19" t="s">
        <v>93</v>
      </c>
      <c r="E245" s="65" t="s">
        <v>90</v>
      </c>
      <c r="F245" s="19" t="str">
        <f t="shared" si="3"/>
        <v>guidance</v>
      </c>
      <c r="G245" s="65" t="s">
        <v>403</v>
      </c>
    </row>
    <row r="246" spans="1:8" ht="40.200000000000003">
      <c r="A246" s="19">
        <v>166</v>
      </c>
      <c r="B246" s="19" t="s">
        <v>36</v>
      </c>
      <c r="C246" s="19" t="s">
        <v>69</v>
      </c>
      <c r="D246" s="19" t="s">
        <v>93</v>
      </c>
      <c r="E246" s="65" t="s">
        <v>90</v>
      </c>
      <c r="F246" s="19" t="str">
        <f t="shared" si="3"/>
        <v>guidance</v>
      </c>
      <c r="G246" s="65" t="s">
        <v>404</v>
      </c>
    </row>
    <row r="247" spans="1:8" ht="40.200000000000003">
      <c r="A247" s="19">
        <v>167</v>
      </c>
      <c r="B247" s="19" t="s">
        <v>36</v>
      </c>
      <c r="C247" s="19" t="s">
        <v>69</v>
      </c>
      <c r="D247" s="19" t="s">
        <v>93</v>
      </c>
      <c r="E247" s="65" t="s">
        <v>90</v>
      </c>
      <c r="F247" s="19" t="str">
        <f t="shared" si="3"/>
        <v>guidance</v>
      </c>
      <c r="G247" s="65" t="s">
        <v>405</v>
      </c>
      <c r="H247" s="19" t="s">
        <v>203</v>
      </c>
    </row>
    <row r="248" spans="1:8" ht="66.599999999999994">
      <c r="A248" s="19">
        <v>168</v>
      </c>
      <c r="B248" s="19" t="s">
        <v>36</v>
      </c>
      <c r="C248" s="19" t="s">
        <v>69</v>
      </c>
      <c r="D248" s="19" t="s">
        <v>93</v>
      </c>
      <c r="E248" s="65" t="s">
        <v>90</v>
      </c>
      <c r="F248" s="19" t="str">
        <f t="shared" si="3"/>
        <v>guidance</v>
      </c>
      <c r="G248" s="65" t="s">
        <v>406</v>
      </c>
    </row>
    <row r="249" spans="1:8" ht="79.8">
      <c r="A249" s="19">
        <v>169</v>
      </c>
      <c r="B249" s="19" t="s">
        <v>36</v>
      </c>
      <c r="C249" s="19" t="s">
        <v>69</v>
      </c>
      <c r="D249" s="19" t="s">
        <v>93</v>
      </c>
      <c r="E249" s="65" t="s">
        <v>90</v>
      </c>
      <c r="F249" s="19" t="str">
        <f t="shared" si="3"/>
        <v>guidance</v>
      </c>
      <c r="G249" s="65" t="s">
        <v>407</v>
      </c>
    </row>
    <row r="250" spans="1:8" ht="40.200000000000003">
      <c r="A250" s="19">
        <v>170</v>
      </c>
      <c r="B250" s="19" t="s">
        <v>36</v>
      </c>
      <c r="C250" s="19" t="s">
        <v>69</v>
      </c>
      <c r="D250" s="19" t="s">
        <v>93</v>
      </c>
      <c r="E250" s="65" t="s">
        <v>90</v>
      </c>
      <c r="F250" s="19" t="str">
        <f t="shared" si="3"/>
        <v>guidance</v>
      </c>
      <c r="G250" s="65" t="s">
        <v>408</v>
      </c>
      <c r="H250" s="19" t="s">
        <v>203</v>
      </c>
    </row>
    <row r="251" spans="1:8" ht="40.200000000000003">
      <c r="A251" s="19">
        <v>171</v>
      </c>
      <c r="B251" s="19" t="s">
        <v>36</v>
      </c>
      <c r="C251" s="19" t="s">
        <v>69</v>
      </c>
      <c r="D251" s="19" t="s">
        <v>93</v>
      </c>
      <c r="E251" s="65" t="s">
        <v>90</v>
      </c>
      <c r="F251" s="19" t="str">
        <f t="shared" si="3"/>
        <v>guidance</v>
      </c>
      <c r="G251" s="65" t="s">
        <v>409</v>
      </c>
    </row>
    <row r="252" spans="1:8" ht="40.200000000000003">
      <c r="A252" s="19">
        <v>172</v>
      </c>
      <c r="B252" s="19" t="s">
        <v>36</v>
      </c>
      <c r="C252" s="19" t="s">
        <v>69</v>
      </c>
      <c r="D252" s="19" t="s">
        <v>93</v>
      </c>
      <c r="E252" s="65" t="s">
        <v>90</v>
      </c>
      <c r="F252" s="19" t="str">
        <f t="shared" si="3"/>
        <v>guidance</v>
      </c>
      <c r="G252" s="65" t="s">
        <v>410</v>
      </c>
    </row>
    <row r="253" spans="1:8" ht="172.2">
      <c r="A253" s="19">
        <v>173</v>
      </c>
      <c r="B253" s="19" t="s">
        <v>36</v>
      </c>
      <c r="C253" s="19" t="s">
        <v>69</v>
      </c>
      <c r="D253" s="19" t="s">
        <v>93</v>
      </c>
      <c r="E253" s="65" t="s">
        <v>90</v>
      </c>
      <c r="F253" s="19" t="str">
        <f t="shared" si="3"/>
        <v>guidance</v>
      </c>
      <c r="G253" s="65" t="s">
        <v>418</v>
      </c>
    </row>
    <row r="254" spans="1:8" ht="40.200000000000003">
      <c r="A254" s="19">
        <v>173</v>
      </c>
      <c r="B254" s="19" t="s">
        <v>36</v>
      </c>
      <c r="C254" s="19" t="s">
        <v>69</v>
      </c>
      <c r="D254" s="19" t="s">
        <v>93</v>
      </c>
      <c r="E254" s="65" t="s">
        <v>90</v>
      </c>
      <c r="F254" s="19" t="str">
        <f t="shared" si="3"/>
        <v>guidance</v>
      </c>
      <c r="G254" s="65" t="s">
        <v>416</v>
      </c>
    </row>
    <row r="255" spans="1:8" ht="40.200000000000003">
      <c r="A255" s="19">
        <v>173</v>
      </c>
      <c r="B255" s="19" t="s">
        <v>36</v>
      </c>
      <c r="C255" s="19" t="s">
        <v>69</v>
      </c>
      <c r="D255" s="19" t="s">
        <v>93</v>
      </c>
      <c r="E255" s="65" t="s">
        <v>90</v>
      </c>
      <c r="F255" s="19" t="str">
        <f t="shared" si="3"/>
        <v>guidance</v>
      </c>
      <c r="G255" s="65" t="s">
        <v>417</v>
      </c>
    </row>
    <row r="256" spans="1:8" ht="53.4">
      <c r="A256" s="19">
        <v>174</v>
      </c>
      <c r="B256" s="19" t="s">
        <v>36</v>
      </c>
      <c r="C256" s="19" t="s">
        <v>69</v>
      </c>
      <c r="D256" s="19" t="s">
        <v>93</v>
      </c>
      <c r="E256" s="65" t="s">
        <v>90</v>
      </c>
      <c r="F256" s="19" t="str">
        <f t="shared" si="3"/>
        <v>guidance</v>
      </c>
      <c r="G256" s="65" t="s">
        <v>411</v>
      </c>
    </row>
    <row r="257" spans="1:11" ht="27">
      <c r="A257" s="19" t="s">
        <v>12</v>
      </c>
      <c r="B257" s="19" t="s">
        <v>36</v>
      </c>
      <c r="C257" s="19" t="s">
        <v>95</v>
      </c>
      <c r="D257" s="19" t="s">
        <v>96</v>
      </c>
      <c r="E257" s="65" t="s">
        <v>97</v>
      </c>
      <c r="F257" s="19" t="str">
        <f t="shared" si="3"/>
        <v>datapoint</v>
      </c>
      <c r="G257" s="65" t="s">
        <v>98</v>
      </c>
      <c r="H257" s="19" t="s">
        <v>94</v>
      </c>
      <c r="I257" s="19" t="s">
        <v>191</v>
      </c>
      <c r="K257" s="19" t="s">
        <v>724</v>
      </c>
    </row>
    <row r="258" spans="1:11" ht="27">
      <c r="A258" s="19" t="s">
        <v>12</v>
      </c>
      <c r="B258" s="19" t="s">
        <v>36</v>
      </c>
      <c r="C258" s="19" t="s">
        <v>95</v>
      </c>
      <c r="D258" s="19" t="s">
        <v>96</v>
      </c>
      <c r="E258" s="65" t="s">
        <v>97</v>
      </c>
      <c r="F258" s="19" t="str">
        <f t="shared" si="3"/>
        <v>datapoint</v>
      </c>
      <c r="G258" s="65" t="s">
        <v>99</v>
      </c>
      <c r="I258" s="19" t="s">
        <v>191</v>
      </c>
      <c r="K258" s="19" t="s">
        <v>724</v>
      </c>
    </row>
    <row r="259" spans="1:11" ht="27">
      <c r="A259" s="19" t="s">
        <v>12</v>
      </c>
      <c r="B259" s="19" t="s">
        <v>36</v>
      </c>
      <c r="C259" s="19" t="s">
        <v>95</v>
      </c>
      <c r="D259" s="19" t="s">
        <v>96</v>
      </c>
      <c r="E259" s="65" t="s">
        <v>97</v>
      </c>
      <c r="F259" s="19" t="str">
        <f t="shared" ref="F259:F322" si="4">IF(VALUE(A259)&gt;66,"guidance","datapoint")</f>
        <v>datapoint</v>
      </c>
      <c r="G259" s="65" t="s">
        <v>100</v>
      </c>
      <c r="I259" s="19" t="s">
        <v>191</v>
      </c>
      <c r="K259" s="19" t="s">
        <v>724</v>
      </c>
    </row>
    <row r="260" spans="1:11" ht="27">
      <c r="A260" s="19" t="s">
        <v>12</v>
      </c>
      <c r="B260" s="19" t="s">
        <v>36</v>
      </c>
      <c r="C260" s="19" t="s">
        <v>95</v>
      </c>
      <c r="D260" s="19" t="s">
        <v>96</v>
      </c>
      <c r="E260" s="65" t="s">
        <v>97</v>
      </c>
      <c r="F260" s="19" t="str">
        <f t="shared" si="4"/>
        <v>datapoint</v>
      </c>
      <c r="G260" s="65" t="s">
        <v>101</v>
      </c>
      <c r="I260" s="19" t="s">
        <v>191</v>
      </c>
      <c r="K260" s="19" t="s">
        <v>724</v>
      </c>
    </row>
    <row r="261" spans="1:11" ht="27">
      <c r="A261" s="19" t="s">
        <v>13</v>
      </c>
      <c r="B261" s="19" t="s">
        <v>36</v>
      </c>
      <c r="C261" s="19" t="s">
        <v>95</v>
      </c>
      <c r="D261" s="19" t="s">
        <v>96</v>
      </c>
      <c r="E261" s="65" t="s">
        <v>97</v>
      </c>
      <c r="F261" s="19" t="str">
        <f t="shared" si="4"/>
        <v>datapoint</v>
      </c>
      <c r="G261" s="65" t="s">
        <v>102</v>
      </c>
      <c r="I261" s="19" t="s">
        <v>191</v>
      </c>
      <c r="K261" s="19" t="s">
        <v>724</v>
      </c>
    </row>
    <row r="262" spans="1:11" ht="79.8">
      <c r="A262" s="19">
        <v>175</v>
      </c>
      <c r="B262" s="19" t="s">
        <v>36</v>
      </c>
      <c r="C262" s="19" t="s">
        <v>95</v>
      </c>
      <c r="D262" s="19" t="s">
        <v>96</v>
      </c>
      <c r="E262" s="65" t="s">
        <v>97</v>
      </c>
      <c r="F262" s="19" t="str">
        <f t="shared" si="4"/>
        <v>guidance</v>
      </c>
      <c r="G262" s="65" t="s">
        <v>419</v>
      </c>
    </row>
    <row r="263" spans="1:11" ht="27">
      <c r="A263" s="19">
        <v>176</v>
      </c>
      <c r="B263" s="19" t="s">
        <v>36</v>
      </c>
      <c r="C263" s="19" t="s">
        <v>95</v>
      </c>
      <c r="D263" s="19" t="s">
        <v>96</v>
      </c>
      <c r="E263" s="65" t="s">
        <v>97</v>
      </c>
      <c r="F263" s="19" t="str">
        <f t="shared" si="4"/>
        <v>guidance</v>
      </c>
      <c r="G263" s="65" t="s">
        <v>208</v>
      </c>
      <c r="I263" s="77"/>
    </row>
    <row r="264" spans="1:11" ht="27">
      <c r="A264" s="19">
        <v>177</v>
      </c>
      <c r="B264" s="19" t="s">
        <v>36</v>
      </c>
      <c r="C264" s="19" t="s">
        <v>95</v>
      </c>
      <c r="D264" s="19" t="s">
        <v>96</v>
      </c>
      <c r="E264" s="65" t="s">
        <v>97</v>
      </c>
      <c r="F264" s="19" t="str">
        <f t="shared" si="4"/>
        <v>guidance</v>
      </c>
      <c r="G264" s="65" t="s">
        <v>420</v>
      </c>
      <c r="H264" s="19" t="s">
        <v>203</v>
      </c>
    </row>
    <row r="265" spans="1:11" ht="27">
      <c r="A265" s="19">
        <v>178</v>
      </c>
      <c r="B265" s="19" t="s">
        <v>36</v>
      </c>
      <c r="C265" s="19" t="s">
        <v>95</v>
      </c>
      <c r="D265" s="19" t="s">
        <v>96</v>
      </c>
      <c r="E265" s="65" t="s">
        <v>97</v>
      </c>
      <c r="F265" s="19" t="str">
        <f t="shared" si="4"/>
        <v>guidance</v>
      </c>
      <c r="G265" s="65" t="s">
        <v>421</v>
      </c>
      <c r="H265" s="19" t="s">
        <v>203</v>
      </c>
    </row>
    <row r="266" spans="1:11" ht="86.4">
      <c r="A266" s="19">
        <v>179</v>
      </c>
      <c r="B266" s="19" t="s">
        <v>36</v>
      </c>
      <c r="C266" s="19" t="s">
        <v>95</v>
      </c>
      <c r="D266" s="19" t="s">
        <v>96</v>
      </c>
      <c r="E266" s="65" t="s">
        <v>97</v>
      </c>
      <c r="F266" s="19" t="str">
        <f t="shared" si="4"/>
        <v>guidance</v>
      </c>
      <c r="G266" s="19" t="s">
        <v>422</v>
      </c>
    </row>
    <row r="267" spans="1:11" ht="27">
      <c r="A267" s="19">
        <v>180</v>
      </c>
      <c r="B267" s="19" t="s">
        <v>36</v>
      </c>
      <c r="C267" s="19" t="s">
        <v>95</v>
      </c>
      <c r="D267" s="19" t="s">
        <v>96</v>
      </c>
      <c r="E267" s="65" t="s">
        <v>97</v>
      </c>
      <c r="F267" s="19" t="str">
        <f t="shared" si="4"/>
        <v>guidance</v>
      </c>
      <c r="G267" s="65" t="s">
        <v>423</v>
      </c>
      <c r="H267" s="19" t="s">
        <v>203</v>
      </c>
    </row>
    <row r="268" spans="1:11" ht="79.8">
      <c r="A268" s="19">
        <v>181</v>
      </c>
      <c r="B268" s="19" t="s">
        <v>36</v>
      </c>
      <c r="C268" s="19" t="s">
        <v>95</v>
      </c>
      <c r="D268" s="19" t="s">
        <v>96</v>
      </c>
      <c r="E268" s="65" t="s">
        <v>97</v>
      </c>
      <c r="F268" s="19" t="str">
        <f t="shared" si="4"/>
        <v>guidance</v>
      </c>
      <c r="G268" s="65" t="s">
        <v>424</v>
      </c>
    </row>
    <row r="269" spans="1:11" ht="27">
      <c r="A269" s="19">
        <v>182</v>
      </c>
      <c r="B269" s="19" t="s">
        <v>36</v>
      </c>
      <c r="C269" s="19" t="s">
        <v>95</v>
      </c>
      <c r="D269" s="19" t="s">
        <v>96</v>
      </c>
      <c r="E269" s="65" t="s">
        <v>97</v>
      </c>
      <c r="F269" s="19" t="str">
        <f t="shared" si="4"/>
        <v>guidance</v>
      </c>
      <c r="G269" s="65" t="s">
        <v>425</v>
      </c>
    </row>
    <row r="270" spans="1:11" ht="27">
      <c r="A270" s="19">
        <v>183</v>
      </c>
      <c r="B270" s="19" t="s">
        <v>36</v>
      </c>
      <c r="C270" s="19" t="s">
        <v>95</v>
      </c>
      <c r="D270" s="19" t="s">
        <v>96</v>
      </c>
      <c r="E270" s="65" t="s">
        <v>97</v>
      </c>
      <c r="F270" s="19" t="str">
        <f t="shared" si="4"/>
        <v>guidance</v>
      </c>
      <c r="G270" s="65" t="s">
        <v>426</v>
      </c>
    </row>
    <row r="271" spans="1:11" ht="27">
      <c r="A271" s="19">
        <v>183</v>
      </c>
      <c r="B271" s="19" t="s">
        <v>36</v>
      </c>
      <c r="C271" s="19" t="s">
        <v>95</v>
      </c>
      <c r="D271" s="19" t="s">
        <v>96</v>
      </c>
      <c r="E271" s="65" t="s">
        <v>97</v>
      </c>
      <c r="F271" s="19" t="str">
        <f t="shared" si="4"/>
        <v>guidance</v>
      </c>
      <c r="G271" s="65" t="s">
        <v>427</v>
      </c>
      <c r="I271" s="77"/>
    </row>
    <row r="272" spans="1:11" ht="27">
      <c r="A272" s="19">
        <v>41</v>
      </c>
      <c r="B272" s="19" t="s">
        <v>36</v>
      </c>
      <c r="C272" s="19" t="s">
        <v>95</v>
      </c>
      <c r="D272" s="19" t="s">
        <v>104</v>
      </c>
      <c r="E272" s="65" t="s">
        <v>105</v>
      </c>
      <c r="F272" s="19" t="str">
        <f t="shared" si="4"/>
        <v>datapoint</v>
      </c>
      <c r="G272" s="65" t="s">
        <v>432</v>
      </c>
      <c r="H272" s="19" t="s">
        <v>94</v>
      </c>
      <c r="I272" s="19" t="s">
        <v>191</v>
      </c>
      <c r="K272" s="19" t="s">
        <v>699</v>
      </c>
    </row>
    <row r="273" spans="1:11" ht="27">
      <c r="A273" s="19">
        <v>41</v>
      </c>
      <c r="B273" s="19" t="s">
        <v>36</v>
      </c>
      <c r="C273" s="19" t="s">
        <v>95</v>
      </c>
      <c r="D273" s="19" t="s">
        <v>104</v>
      </c>
      <c r="E273" s="65" t="s">
        <v>105</v>
      </c>
      <c r="F273" s="19" t="str">
        <f t="shared" si="4"/>
        <v>datapoint</v>
      </c>
      <c r="G273" s="65" t="s">
        <v>431</v>
      </c>
      <c r="I273" s="19" t="s">
        <v>191</v>
      </c>
      <c r="K273" s="19" t="s">
        <v>699</v>
      </c>
    </row>
    <row r="274" spans="1:11" ht="27">
      <c r="A274" s="19">
        <v>41</v>
      </c>
      <c r="B274" s="19" t="s">
        <v>36</v>
      </c>
      <c r="C274" s="19" t="s">
        <v>95</v>
      </c>
      <c r="D274" s="19" t="s">
        <v>104</v>
      </c>
      <c r="E274" s="65" t="s">
        <v>105</v>
      </c>
      <c r="F274" s="19" t="str">
        <f t="shared" si="4"/>
        <v>datapoint</v>
      </c>
      <c r="G274" s="65" t="s">
        <v>103</v>
      </c>
      <c r="I274" s="19" t="s">
        <v>191</v>
      </c>
      <c r="K274" s="19" t="s">
        <v>699</v>
      </c>
    </row>
    <row r="275" spans="1:11" ht="66.599999999999994">
      <c r="A275" s="19">
        <v>184</v>
      </c>
      <c r="B275" s="19" t="s">
        <v>36</v>
      </c>
      <c r="C275" s="19" t="s">
        <v>95</v>
      </c>
      <c r="D275" s="19" t="s">
        <v>104</v>
      </c>
      <c r="E275" s="19" t="s">
        <v>105</v>
      </c>
      <c r="F275" s="19" t="str">
        <f t="shared" si="4"/>
        <v>guidance</v>
      </c>
      <c r="G275" s="65" t="s">
        <v>428</v>
      </c>
    </row>
    <row r="276" spans="1:11" ht="28.8">
      <c r="A276" s="19">
        <v>185</v>
      </c>
      <c r="B276" s="19" t="s">
        <v>36</v>
      </c>
      <c r="C276" s="19" t="s">
        <v>95</v>
      </c>
      <c r="D276" s="19" t="s">
        <v>104</v>
      </c>
      <c r="E276" s="19" t="s">
        <v>105</v>
      </c>
      <c r="F276" s="19" t="str">
        <f t="shared" si="4"/>
        <v>guidance</v>
      </c>
      <c r="G276" s="65" t="s">
        <v>429</v>
      </c>
    </row>
    <row r="277" spans="1:11" ht="27">
      <c r="A277" s="19">
        <v>185</v>
      </c>
      <c r="B277" s="19" t="s">
        <v>36</v>
      </c>
      <c r="C277" s="19" t="s">
        <v>95</v>
      </c>
      <c r="D277" s="19" t="s">
        <v>104</v>
      </c>
      <c r="E277" s="65" t="s">
        <v>105</v>
      </c>
      <c r="F277" s="19" t="str">
        <f t="shared" si="4"/>
        <v>guidance</v>
      </c>
      <c r="G277" s="65" t="s">
        <v>430</v>
      </c>
    </row>
    <row r="278" spans="1:11" ht="40.200000000000003">
      <c r="A278" s="19">
        <v>186</v>
      </c>
      <c r="B278" s="19" t="s">
        <v>36</v>
      </c>
      <c r="C278" s="19" t="s">
        <v>95</v>
      </c>
      <c r="D278" s="19" t="s">
        <v>104</v>
      </c>
      <c r="E278" s="19" t="s">
        <v>105</v>
      </c>
      <c r="F278" s="19" t="str">
        <f t="shared" si="4"/>
        <v>guidance</v>
      </c>
      <c r="G278" s="65" t="s">
        <v>433</v>
      </c>
    </row>
    <row r="279" spans="1:11" ht="27">
      <c r="A279" s="19">
        <v>186</v>
      </c>
      <c r="B279" s="19" t="s">
        <v>36</v>
      </c>
      <c r="C279" s="19" t="s">
        <v>95</v>
      </c>
      <c r="D279" s="19" t="s">
        <v>104</v>
      </c>
      <c r="E279" s="65" t="s">
        <v>105</v>
      </c>
      <c r="F279" s="19" t="str">
        <f t="shared" si="4"/>
        <v>guidance</v>
      </c>
      <c r="G279" s="65" t="s">
        <v>434</v>
      </c>
    </row>
    <row r="280" spans="1:11" ht="28.8">
      <c r="A280" s="19">
        <v>187</v>
      </c>
      <c r="B280" s="19" t="s">
        <v>36</v>
      </c>
      <c r="C280" s="19" t="s">
        <v>95</v>
      </c>
      <c r="D280" s="19" t="s">
        <v>104</v>
      </c>
      <c r="E280" s="19" t="s">
        <v>105</v>
      </c>
      <c r="F280" s="19" t="str">
        <f t="shared" si="4"/>
        <v>guidance</v>
      </c>
      <c r="G280" s="74" t="s">
        <v>435</v>
      </c>
    </row>
    <row r="281" spans="1:11" ht="40.200000000000003">
      <c r="A281" s="19">
        <v>188</v>
      </c>
      <c r="B281" s="19" t="s">
        <v>36</v>
      </c>
      <c r="C281" s="19" t="s">
        <v>95</v>
      </c>
      <c r="D281" s="19" t="s">
        <v>104</v>
      </c>
      <c r="E281" s="19" t="s">
        <v>105</v>
      </c>
      <c r="F281" s="19" t="str">
        <f t="shared" si="4"/>
        <v>guidance</v>
      </c>
      <c r="G281" s="65" t="s">
        <v>436</v>
      </c>
    </row>
    <row r="282" spans="1:11" ht="93">
      <c r="A282" s="19">
        <v>189</v>
      </c>
      <c r="B282" s="19" t="s">
        <v>36</v>
      </c>
      <c r="C282" s="19" t="s">
        <v>95</v>
      </c>
      <c r="D282" s="19" t="s">
        <v>104</v>
      </c>
      <c r="E282" s="19" t="s">
        <v>105</v>
      </c>
      <c r="F282" s="19" t="str">
        <f t="shared" si="4"/>
        <v>guidance</v>
      </c>
      <c r="G282" s="65" t="s">
        <v>437</v>
      </c>
    </row>
    <row r="283" spans="1:11" ht="79.8">
      <c r="A283" s="19">
        <v>190</v>
      </c>
      <c r="B283" s="19" t="s">
        <v>36</v>
      </c>
      <c r="C283" s="19" t="s">
        <v>95</v>
      </c>
      <c r="D283" s="19" t="s">
        <v>104</v>
      </c>
      <c r="E283" s="19" t="s">
        <v>105</v>
      </c>
      <c r="F283" s="19" t="str">
        <f t="shared" si="4"/>
        <v>guidance</v>
      </c>
      <c r="G283" s="65" t="s">
        <v>438</v>
      </c>
    </row>
    <row r="284" spans="1:11" ht="28.8">
      <c r="A284" s="19">
        <v>191</v>
      </c>
      <c r="B284" s="19" t="s">
        <v>36</v>
      </c>
      <c r="C284" s="19" t="s">
        <v>95</v>
      </c>
      <c r="D284" s="19" t="s">
        <v>104</v>
      </c>
      <c r="E284" s="19" t="s">
        <v>105</v>
      </c>
      <c r="F284" s="19" t="str">
        <f t="shared" si="4"/>
        <v>guidance</v>
      </c>
      <c r="G284" s="65" t="s">
        <v>439</v>
      </c>
    </row>
    <row r="285" spans="1:11" ht="28.8">
      <c r="A285" s="19" t="s">
        <v>14</v>
      </c>
      <c r="B285" s="19" t="s">
        <v>36</v>
      </c>
      <c r="C285" s="19" t="s">
        <v>95</v>
      </c>
      <c r="D285" s="19" t="s">
        <v>107</v>
      </c>
      <c r="E285" s="19" t="s">
        <v>106</v>
      </c>
      <c r="F285" s="19" t="str">
        <f t="shared" si="4"/>
        <v>datapoint</v>
      </c>
      <c r="G285" s="65" t="s">
        <v>41</v>
      </c>
      <c r="H285" s="19" t="s">
        <v>94</v>
      </c>
      <c r="I285" s="19" t="s">
        <v>191</v>
      </c>
    </row>
    <row r="286" spans="1:11" ht="40.200000000000003">
      <c r="A286" s="19" t="s">
        <v>14</v>
      </c>
      <c r="B286" s="19" t="s">
        <v>36</v>
      </c>
      <c r="C286" s="19" t="s">
        <v>95</v>
      </c>
      <c r="D286" s="19" t="s">
        <v>107</v>
      </c>
      <c r="E286" s="19" t="s">
        <v>106</v>
      </c>
      <c r="F286" s="19" t="str">
        <f t="shared" si="4"/>
        <v>datapoint</v>
      </c>
      <c r="G286" s="65" t="s">
        <v>108</v>
      </c>
      <c r="I286" s="19" t="s">
        <v>187</v>
      </c>
      <c r="K286" s="19" t="s">
        <v>799</v>
      </c>
    </row>
    <row r="287" spans="1:11" ht="39.6">
      <c r="A287" s="19" t="s">
        <v>14</v>
      </c>
      <c r="B287" s="19" t="s">
        <v>36</v>
      </c>
      <c r="C287" s="19" t="s">
        <v>95</v>
      </c>
      <c r="D287" s="19" t="s">
        <v>107</v>
      </c>
      <c r="E287" s="19" t="s">
        <v>106</v>
      </c>
      <c r="F287" s="19" t="str">
        <f t="shared" si="4"/>
        <v>datapoint</v>
      </c>
      <c r="G287" s="74" t="s">
        <v>725</v>
      </c>
      <c r="I287" s="19" t="s">
        <v>191</v>
      </c>
      <c r="K287" s="19" t="s">
        <v>724</v>
      </c>
    </row>
    <row r="288" spans="1:11" ht="28.8">
      <c r="A288" s="19" t="s">
        <v>14</v>
      </c>
      <c r="B288" s="19" t="s">
        <v>36</v>
      </c>
      <c r="C288" s="19" t="s">
        <v>95</v>
      </c>
      <c r="D288" s="19" t="s">
        <v>107</v>
      </c>
      <c r="E288" s="19" t="s">
        <v>106</v>
      </c>
      <c r="F288" s="19" t="str">
        <f t="shared" si="4"/>
        <v>datapoint</v>
      </c>
      <c r="G288" s="65" t="s">
        <v>109</v>
      </c>
      <c r="I288" s="19" t="s">
        <v>191</v>
      </c>
      <c r="K288" s="19" t="s">
        <v>799</v>
      </c>
    </row>
    <row r="289" spans="1:11" ht="28.8">
      <c r="A289" s="19" t="s">
        <v>14</v>
      </c>
      <c r="B289" s="19" t="s">
        <v>36</v>
      </c>
      <c r="C289" s="19" t="s">
        <v>95</v>
      </c>
      <c r="D289" s="19" t="s">
        <v>107</v>
      </c>
      <c r="E289" s="19" t="s">
        <v>106</v>
      </c>
      <c r="F289" s="19" t="str">
        <f t="shared" si="4"/>
        <v>datapoint</v>
      </c>
      <c r="G289" s="65" t="s">
        <v>110</v>
      </c>
      <c r="I289" s="19" t="s">
        <v>191</v>
      </c>
      <c r="K289" s="19" t="s">
        <v>724</v>
      </c>
    </row>
    <row r="290" spans="1:11" ht="53.4">
      <c r="A290" s="19">
        <v>192</v>
      </c>
      <c r="B290" s="19" t="s">
        <v>36</v>
      </c>
      <c r="C290" s="19" t="s">
        <v>95</v>
      </c>
      <c r="D290" s="19" t="s">
        <v>107</v>
      </c>
      <c r="E290" s="19" t="s">
        <v>106</v>
      </c>
      <c r="F290" s="19" t="str">
        <f t="shared" si="4"/>
        <v>guidance</v>
      </c>
      <c r="G290" s="65" t="s">
        <v>462</v>
      </c>
    </row>
    <row r="291" spans="1:11" ht="53.4">
      <c r="A291" s="19">
        <v>193</v>
      </c>
      <c r="B291" s="19" t="s">
        <v>36</v>
      </c>
      <c r="C291" s="19" t="s">
        <v>95</v>
      </c>
      <c r="D291" s="19" t="s">
        <v>107</v>
      </c>
      <c r="E291" s="19" t="s">
        <v>106</v>
      </c>
      <c r="F291" s="19" t="str">
        <f t="shared" si="4"/>
        <v>guidance</v>
      </c>
      <c r="G291" s="65" t="s">
        <v>440</v>
      </c>
    </row>
    <row r="292" spans="1:11" ht="66.599999999999994">
      <c r="A292" s="19">
        <v>194</v>
      </c>
      <c r="B292" s="19" t="s">
        <v>36</v>
      </c>
      <c r="C292" s="19" t="s">
        <v>95</v>
      </c>
      <c r="D292" s="19" t="s">
        <v>107</v>
      </c>
      <c r="E292" s="19" t="s">
        <v>106</v>
      </c>
      <c r="F292" s="19" t="str">
        <f t="shared" si="4"/>
        <v>guidance</v>
      </c>
      <c r="G292" s="65" t="s">
        <v>441</v>
      </c>
    </row>
    <row r="293" spans="1:11" ht="40.200000000000003">
      <c r="A293" s="19">
        <v>195</v>
      </c>
      <c r="B293" s="19" t="s">
        <v>36</v>
      </c>
      <c r="C293" s="19" t="s">
        <v>95</v>
      </c>
      <c r="D293" s="19" t="s">
        <v>107</v>
      </c>
      <c r="E293" s="19" t="s">
        <v>106</v>
      </c>
      <c r="F293" s="19" t="str">
        <f t="shared" si="4"/>
        <v>guidance</v>
      </c>
      <c r="G293" s="65" t="s">
        <v>442</v>
      </c>
    </row>
    <row r="294" spans="1:11" ht="28.8">
      <c r="A294" s="19">
        <v>195</v>
      </c>
      <c r="B294" s="19" t="s">
        <v>36</v>
      </c>
      <c r="C294" s="19" t="s">
        <v>95</v>
      </c>
      <c r="D294" s="19" t="s">
        <v>107</v>
      </c>
      <c r="E294" s="19" t="s">
        <v>106</v>
      </c>
      <c r="F294" s="19" t="str">
        <f t="shared" si="4"/>
        <v>guidance</v>
      </c>
      <c r="G294" s="65" t="s">
        <v>443</v>
      </c>
    </row>
    <row r="295" spans="1:11" ht="28.8">
      <c r="A295" s="19">
        <v>196</v>
      </c>
      <c r="B295" s="19" t="s">
        <v>36</v>
      </c>
      <c r="C295" s="19" t="s">
        <v>95</v>
      </c>
      <c r="D295" s="19" t="s">
        <v>107</v>
      </c>
      <c r="E295" s="19" t="s">
        <v>106</v>
      </c>
      <c r="F295" s="19" t="str">
        <f t="shared" si="4"/>
        <v>guidance</v>
      </c>
      <c r="G295" s="65" t="s">
        <v>444</v>
      </c>
    </row>
    <row r="296" spans="1:11" ht="28.8">
      <c r="A296" s="19">
        <v>196</v>
      </c>
      <c r="B296" s="19" t="s">
        <v>36</v>
      </c>
      <c r="C296" s="19" t="s">
        <v>95</v>
      </c>
      <c r="D296" s="19" t="s">
        <v>107</v>
      </c>
      <c r="E296" s="19" t="s">
        <v>106</v>
      </c>
      <c r="F296" s="19" t="str">
        <f t="shared" si="4"/>
        <v>guidance</v>
      </c>
      <c r="G296" s="65" t="s">
        <v>445</v>
      </c>
    </row>
    <row r="297" spans="1:11" ht="40.200000000000003">
      <c r="A297" s="19">
        <v>196</v>
      </c>
      <c r="B297" s="19" t="s">
        <v>36</v>
      </c>
      <c r="C297" s="19" t="s">
        <v>95</v>
      </c>
      <c r="D297" s="19" t="s">
        <v>107</v>
      </c>
      <c r="E297" s="19" t="s">
        <v>106</v>
      </c>
      <c r="F297" s="19" t="str">
        <f t="shared" si="4"/>
        <v>guidance</v>
      </c>
      <c r="G297" s="65" t="s">
        <v>446</v>
      </c>
    </row>
    <row r="298" spans="1:11" ht="28.8">
      <c r="A298" s="19">
        <v>196</v>
      </c>
      <c r="B298" s="19" t="s">
        <v>36</v>
      </c>
      <c r="C298" s="19" t="s">
        <v>95</v>
      </c>
      <c r="D298" s="19" t="s">
        <v>107</v>
      </c>
      <c r="E298" s="19" t="s">
        <v>106</v>
      </c>
      <c r="F298" s="19" t="str">
        <f t="shared" si="4"/>
        <v>guidance</v>
      </c>
      <c r="G298" s="65" t="s">
        <v>447</v>
      </c>
    </row>
    <row r="299" spans="1:11" ht="28.8">
      <c r="A299" s="19">
        <v>196</v>
      </c>
      <c r="B299" s="19" t="s">
        <v>36</v>
      </c>
      <c r="C299" s="19" t="s">
        <v>95</v>
      </c>
      <c r="D299" s="19" t="s">
        <v>107</v>
      </c>
      <c r="E299" s="19" t="s">
        <v>106</v>
      </c>
      <c r="F299" s="19" t="str">
        <f t="shared" si="4"/>
        <v>guidance</v>
      </c>
      <c r="G299" s="65" t="s">
        <v>448</v>
      </c>
    </row>
    <row r="300" spans="1:11" ht="28.8">
      <c r="A300" s="19">
        <v>197</v>
      </c>
      <c r="B300" s="19" t="s">
        <v>36</v>
      </c>
      <c r="C300" s="19" t="s">
        <v>95</v>
      </c>
      <c r="D300" s="19" t="s">
        <v>107</v>
      </c>
      <c r="E300" s="19" t="s">
        <v>106</v>
      </c>
      <c r="F300" s="19" t="str">
        <f t="shared" si="4"/>
        <v>guidance</v>
      </c>
      <c r="G300" s="65" t="s">
        <v>449</v>
      </c>
    </row>
    <row r="301" spans="1:11" ht="28.8">
      <c r="A301" s="19">
        <v>198</v>
      </c>
      <c r="B301" s="19" t="s">
        <v>36</v>
      </c>
      <c r="C301" s="19" t="s">
        <v>95</v>
      </c>
      <c r="D301" s="19" t="s">
        <v>107</v>
      </c>
      <c r="E301" s="19" t="s">
        <v>106</v>
      </c>
      <c r="F301" s="19" t="str">
        <f t="shared" si="4"/>
        <v>guidance</v>
      </c>
      <c r="G301" s="65" t="s">
        <v>450</v>
      </c>
    </row>
    <row r="302" spans="1:11" ht="40.200000000000003">
      <c r="A302" s="19">
        <v>199</v>
      </c>
      <c r="B302" s="19" t="s">
        <v>36</v>
      </c>
      <c r="C302" s="19" t="s">
        <v>95</v>
      </c>
      <c r="D302" s="19" t="s">
        <v>107</v>
      </c>
      <c r="E302" s="19" t="s">
        <v>106</v>
      </c>
      <c r="F302" s="19" t="str">
        <f t="shared" si="4"/>
        <v>guidance</v>
      </c>
      <c r="G302" s="65" t="s">
        <v>451</v>
      </c>
      <c r="H302" s="19" t="s">
        <v>453</v>
      </c>
    </row>
    <row r="303" spans="1:11" ht="53.4">
      <c r="A303" s="19">
        <v>200</v>
      </c>
      <c r="B303" s="19" t="s">
        <v>36</v>
      </c>
      <c r="C303" s="19" t="s">
        <v>95</v>
      </c>
      <c r="D303" s="19" t="s">
        <v>107</v>
      </c>
      <c r="E303" s="19" t="s">
        <v>106</v>
      </c>
      <c r="F303" s="19" t="str">
        <f t="shared" si="4"/>
        <v>guidance</v>
      </c>
      <c r="G303" s="65" t="s">
        <v>452</v>
      </c>
      <c r="H303" s="19" t="s">
        <v>453</v>
      </c>
    </row>
    <row r="304" spans="1:11" ht="28.8">
      <c r="A304" s="19">
        <v>201</v>
      </c>
      <c r="B304" s="19" t="s">
        <v>36</v>
      </c>
      <c r="C304" s="19" t="s">
        <v>95</v>
      </c>
      <c r="D304" s="19" t="s">
        <v>107</v>
      </c>
      <c r="E304" s="19" t="s">
        <v>106</v>
      </c>
      <c r="F304" s="19" t="str">
        <f t="shared" si="4"/>
        <v>guidance</v>
      </c>
      <c r="G304" s="65" t="s">
        <v>454</v>
      </c>
      <c r="H304" s="19" t="s">
        <v>453</v>
      </c>
    </row>
    <row r="305" spans="1:11" ht="28.8">
      <c r="A305" s="19">
        <v>201</v>
      </c>
      <c r="B305" s="19" t="s">
        <v>36</v>
      </c>
      <c r="C305" s="19" t="s">
        <v>95</v>
      </c>
      <c r="D305" s="19" t="s">
        <v>107</v>
      </c>
      <c r="E305" s="19" t="s">
        <v>106</v>
      </c>
      <c r="F305" s="19" t="str">
        <f t="shared" si="4"/>
        <v>guidance</v>
      </c>
      <c r="G305" s="65" t="s">
        <v>455</v>
      </c>
      <c r="H305" s="19" t="s">
        <v>191</v>
      </c>
    </row>
    <row r="306" spans="1:11" ht="72">
      <c r="A306" s="19">
        <v>202</v>
      </c>
      <c r="B306" s="19" t="s">
        <v>36</v>
      </c>
      <c r="C306" s="19" t="s">
        <v>95</v>
      </c>
      <c r="D306" s="19" t="s">
        <v>107</v>
      </c>
      <c r="E306" s="19" t="s">
        <v>106</v>
      </c>
      <c r="F306" s="19" t="str">
        <f t="shared" si="4"/>
        <v>guidance</v>
      </c>
      <c r="G306" s="65" t="s">
        <v>457</v>
      </c>
      <c r="H306" s="19" t="s">
        <v>456</v>
      </c>
    </row>
    <row r="307" spans="1:11" ht="72">
      <c r="A307" s="19">
        <v>203</v>
      </c>
      <c r="B307" s="19" t="s">
        <v>36</v>
      </c>
      <c r="C307" s="19" t="s">
        <v>95</v>
      </c>
      <c r="D307" s="19" t="s">
        <v>107</v>
      </c>
      <c r="E307" s="19" t="s">
        <v>106</v>
      </c>
      <c r="F307" s="19" t="str">
        <f t="shared" si="4"/>
        <v>guidance</v>
      </c>
      <c r="G307" s="65" t="s">
        <v>458</v>
      </c>
      <c r="H307" s="19" t="s">
        <v>456</v>
      </c>
    </row>
    <row r="308" spans="1:11" ht="28.8">
      <c r="A308" s="19">
        <v>203</v>
      </c>
      <c r="B308" s="19" t="s">
        <v>36</v>
      </c>
      <c r="C308" s="19" t="s">
        <v>95</v>
      </c>
      <c r="D308" s="19" t="s">
        <v>107</v>
      </c>
      <c r="E308" s="19" t="s">
        <v>106</v>
      </c>
      <c r="F308" s="19" t="str">
        <f t="shared" si="4"/>
        <v>guidance</v>
      </c>
      <c r="G308" s="65" t="s">
        <v>459</v>
      </c>
    </row>
    <row r="309" spans="1:11" ht="72">
      <c r="A309" s="19">
        <v>204</v>
      </c>
      <c r="B309" s="19" t="s">
        <v>36</v>
      </c>
      <c r="C309" s="19" t="s">
        <v>95</v>
      </c>
      <c r="D309" s="19" t="s">
        <v>107</v>
      </c>
      <c r="E309" s="19" t="s">
        <v>106</v>
      </c>
      <c r="F309" s="19" t="str">
        <f t="shared" si="4"/>
        <v>guidance</v>
      </c>
      <c r="G309" s="65" t="s">
        <v>460</v>
      </c>
      <c r="H309" s="19" t="s">
        <v>456</v>
      </c>
    </row>
    <row r="310" spans="1:11" ht="72">
      <c r="A310" s="19">
        <v>205</v>
      </c>
      <c r="B310" s="19" t="s">
        <v>36</v>
      </c>
      <c r="C310" s="19" t="s">
        <v>95</v>
      </c>
      <c r="D310" s="19" t="s">
        <v>107</v>
      </c>
      <c r="E310" s="19" t="s">
        <v>106</v>
      </c>
      <c r="F310" s="19" t="str">
        <f t="shared" si="4"/>
        <v>guidance</v>
      </c>
      <c r="G310" s="65" t="s">
        <v>461</v>
      </c>
      <c r="H310" s="19" t="s">
        <v>456</v>
      </c>
    </row>
    <row r="311" spans="1:11" ht="40.200000000000003">
      <c r="A311" s="19" t="s">
        <v>15</v>
      </c>
      <c r="B311" s="19" t="s">
        <v>36</v>
      </c>
      <c r="C311" s="19" t="s">
        <v>111</v>
      </c>
      <c r="D311" s="19" t="s">
        <v>112</v>
      </c>
      <c r="E311" s="65" t="s">
        <v>113</v>
      </c>
      <c r="F311" s="19" t="str">
        <f t="shared" si="4"/>
        <v>datapoint</v>
      </c>
      <c r="G311" s="65" t="s">
        <v>114</v>
      </c>
      <c r="I311" s="19" t="s">
        <v>187</v>
      </c>
      <c r="K311" s="19" t="s">
        <v>687</v>
      </c>
    </row>
    <row r="312" spans="1:11" ht="27">
      <c r="A312" s="19">
        <v>206</v>
      </c>
      <c r="B312" s="19" t="s">
        <v>36</v>
      </c>
      <c r="C312" s="19" t="s">
        <v>111</v>
      </c>
      <c r="D312" s="19" t="s">
        <v>112</v>
      </c>
      <c r="E312" s="65" t="s">
        <v>113</v>
      </c>
      <c r="F312" s="19" t="str">
        <f t="shared" si="4"/>
        <v>guidance</v>
      </c>
      <c r="G312" s="65" t="s">
        <v>463</v>
      </c>
    </row>
    <row r="313" spans="1:11" ht="40.200000000000003">
      <c r="A313" s="19">
        <v>207</v>
      </c>
      <c r="B313" s="19" t="s">
        <v>36</v>
      </c>
      <c r="C313" s="19" t="s">
        <v>111</v>
      </c>
      <c r="D313" s="19" t="s">
        <v>112</v>
      </c>
      <c r="E313" s="65" t="s">
        <v>113</v>
      </c>
      <c r="F313" s="19" t="str">
        <f t="shared" si="4"/>
        <v>guidance</v>
      </c>
      <c r="G313" s="65" t="s">
        <v>464</v>
      </c>
    </row>
    <row r="314" spans="1:11" ht="66.599999999999994">
      <c r="A314" s="19">
        <v>208</v>
      </c>
      <c r="B314" s="19" t="s">
        <v>36</v>
      </c>
      <c r="C314" s="19" t="s">
        <v>111</v>
      </c>
      <c r="D314" s="19" t="s">
        <v>112</v>
      </c>
      <c r="E314" s="65" t="s">
        <v>113</v>
      </c>
      <c r="F314" s="19" t="str">
        <f t="shared" si="4"/>
        <v>guidance</v>
      </c>
      <c r="G314" s="65" t="s">
        <v>465</v>
      </c>
      <c r="H314" s="19" t="s">
        <v>466</v>
      </c>
    </row>
    <row r="315" spans="1:11" ht="53.4">
      <c r="A315" s="19">
        <v>209</v>
      </c>
      <c r="B315" s="19" t="s">
        <v>36</v>
      </c>
      <c r="C315" s="19" t="s">
        <v>111</v>
      </c>
      <c r="D315" s="19" t="s">
        <v>112</v>
      </c>
      <c r="E315" s="65" t="s">
        <v>113</v>
      </c>
      <c r="F315" s="19" t="str">
        <f t="shared" si="4"/>
        <v>guidance</v>
      </c>
      <c r="G315" s="65" t="s">
        <v>467</v>
      </c>
      <c r="H315" s="19" t="s">
        <v>468</v>
      </c>
    </row>
    <row r="316" spans="1:11" ht="106.2">
      <c r="A316" s="19">
        <v>44</v>
      </c>
      <c r="B316" s="19" t="s">
        <v>115</v>
      </c>
      <c r="C316" s="19" t="s">
        <v>37</v>
      </c>
      <c r="D316" s="19" t="s">
        <v>116</v>
      </c>
      <c r="G316" s="65" t="s">
        <v>119</v>
      </c>
      <c r="I316" s="19" t="s">
        <v>116</v>
      </c>
    </row>
    <row r="317" spans="1:11" ht="53.4">
      <c r="A317" s="19" t="s">
        <v>16</v>
      </c>
      <c r="B317" s="19" t="s">
        <v>115</v>
      </c>
      <c r="C317" s="19" t="s">
        <v>37</v>
      </c>
      <c r="D317" s="19" t="s">
        <v>116</v>
      </c>
      <c r="G317" s="65" t="s">
        <v>118</v>
      </c>
      <c r="I317" s="19" t="s">
        <v>116</v>
      </c>
    </row>
    <row r="318" spans="1:11" ht="28.8">
      <c r="A318" s="19" t="s">
        <v>17</v>
      </c>
      <c r="B318" s="19" t="s">
        <v>115</v>
      </c>
      <c r="C318" s="19" t="s">
        <v>37</v>
      </c>
      <c r="D318" s="19" t="s">
        <v>116</v>
      </c>
      <c r="G318" s="65" t="s">
        <v>117</v>
      </c>
      <c r="I318" s="19" t="s">
        <v>116</v>
      </c>
    </row>
    <row r="319" spans="1:11" ht="53.4">
      <c r="A319" s="19">
        <v>210</v>
      </c>
      <c r="B319" s="19" t="s">
        <v>115</v>
      </c>
      <c r="C319" s="19" t="s">
        <v>37</v>
      </c>
      <c r="D319" s="19" t="s">
        <v>116</v>
      </c>
      <c r="F319" s="19" t="str">
        <f t="shared" si="4"/>
        <v>guidance</v>
      </c>
      <c r="G319" s="65" t="s">
        <v>471</v>
      </c>
    </row>
    <row r="320" spans="1:11" ht="28.8">
      <c r="A320" s="19">
        <v>211</v>
      </c>
      <c r="B320" s="19" t="s">
        <v>115</v>
      </c>
      <c r="C320" s="19" t="s">
        <v>37</v>
      </c>
      <c r="D320" s="19" t="s">
        <v>116</v>
      </c>
      <c r="F320" s="19" t="str">
        <f t="shared" si="4"/>
        <v>guidance</v>
      </c>
      <c r="G320" s="65" t="s">
        <v>472</v>
      </c>
    </row>
    <row r="321" spans="1:12" ht="72">
      <c r="A321" s="19" t="s">
        <v>18</v>
      </c>
      <c r="B321" s="19" t="s">
        <v>115</v>
      </c>
      <c r="C321" s="19" t="s">
        <v>38</v>
      </c>
      <c r="D321" s="19" t="s">
        <v>129</v>
      </c>
      <c r="E321" s="65" t="s">
        <v>126</v>
      </c>
      <c r="F321" s="19" t="str">
        <f t="shared" si="4"/>
        <v>datapoint</v>
      </c>
      <c r="G321" s="65" t="s">
        <v>122</v>
      </c>
      <c r="H321" s="69" t="s">
        <v>94</v>
      </c>
      <c r="I321" s="19" t="s">
        <v>187</v>
      </c>
      <c r="K321" s="19" t="s">
        <v>730</v>
      </c>
      <c r="L321" s="19" t="s">
        <v>796</v>
      </c>
    </row>
    <row r="322" spans="1:12" ht="40.200000000000003">
      <c r="A322" s="19" t="s">
        <v>18</v>
      </c>
      <c r="B322" s="19" t="s">
        <v>115</v>
      </c>
      <c r="C322" s="19" t="s">
        <v>38</v>
      </c>
      <c r="D322" s="19" t="s">
        <v>129</v>
      </c>
      <c r="E322" s="65" t="s">
        <v>126</v>
      </c>
      <c r="F322" s="19" t="str">
        <f t="shared" si="4"/>
        <v>datapoint</v>
      </c>
      <c r="G322" s="65" t="s">
        <v>123</v>
      </c>
      <c r="I322" s="19" t="s">
        <v>187</v>
      </c>
      <c r="K322" s="19" t="s">
        <v>730</v>
      </c>
    </row>
    <row r="323" spans="1:12" ht="40.200000000000003">
      <c r="A323" s="19" t="s">
        <v>18</v>
      </c>
      <c r="B323" s="19" t="s">
        <v>115</v>
      </c>
      <c r="C323" s="19" t="s">
        <v>38</v>
      </c>
      <c r="D323" s="19" t="s">
        <v>129</v>
      </c>
      <c r="E323" s="65" t="s">
        <v>126</v>
      </c>
      <c r="F323" s="19" t="str">
        <f t="shared" ref="F323:F363" si="5">IF(VALUE(A323)&gt;66,"guidance","datapoint")</f>
        <v>datapoint</v>
      </c>
      <c r="G323" s="65" t="s">
        <v>124</v>
      </c>
      <c r="I323" s="19" t="s">
        <v>187</v>
      </c>
      <c r="K323" s="19" t="s">
        <v>730</v>
      </c>
    </row>
    <row r="324" spans="1:12" ht="40.200000000000003">
      <c r="A324" s="19" t="s">
        <v>18</v>
      </c>
      <c r="B324" s="19" t="s">
        <v>115</v>
      </c>
      <c r="C324" s="19" t="s">
        <v>38</v>
      </c>
      <c r="D324" s="19" t="s">
        <v>129</v>
      </c>
      <c r="E324" s="65" t="s">
        <v>126</v>
      </c>
      <c r="F324" s="19" t="str">
        <f t="shared" si="5"/>
        <v>datapoint</v>
      </c>
      <c r="G324" s="65" t="s">
        <v>125</v>
      </c>
      <c r="I324" s="19" t="s">
        <v>187</v>
      </c>
      <c r="K324" s="19" t="s">
        <v>674</v>
      </c>
    </row>
    <row r="325" spans="1:12" ht="40.200000000000003">
      <c r="A325" s="19">
        <v>212</v>
      </c>
      <c r="B325" s="19" t="s">
        <v>115</v>
      </c>
      <c r="C325" s="19" t="s">
        <v>469</v>
      </c>
      <c r="D325" s="19" t="s">
        <v>129</v>
      </c>
      <c r="E325" s="65" t="s">
        <v>126</v>
      </c>
      <c r="F325" s="19" t="str">
        <f t="shared" si="5"/>
        <v>guidance</v>
      </c>
      <c r="G325" s="65" t="s">
        <v>470</v>
      </c>
    </row>
    <row r="326" spans="1:12" ht="40.200000000000003">
      <c r="A326" s="19">
        <v>212</v>
      </c>
      <c r="B326" s="19" t="s">
        <v>115</v>
      </c>
      <c r="C326" s="19" t="s">
        <v>469</v>
      </c>
      <c r="D326" s="19" t="s">
        <v>129</v>
      </c>
      <c r="E326" s="65" t="s">
        <v>126</v>
      </c>
      <c r="F326" s="19" t="str">
        <f t="shared" si="5"/>
        <v>guidance</v>
      </c>
      <c r="G326" s="65"/>
    </row>
    <row r="327" spans="1:12" ht="69" customHeight="1">
      <c r="A327" s="19" t="s">
        <v>19</v>
      </c>
      <c r="B327" s="19" t="s">
        <v>115</v>
      </c>
      <c r="C327" s="19" t="s">
        <v>38</v>
      </c>
      <c r="D327" s="19" t="s">
        <v>128</v>
      </c>
      <c r="E327" s="65" t="s">
        <v>127</v>
      </c>
      <c r="F327" s="19" t="str">
        <f t="shared" si="5"/>
        <v>datapoint</v>
      </c>
      <c r="G327" s="65" t="s">
        <v>121</v>
      </c>
      <c r="I327" s="19" t="s">
        <v>187</v>
      </c>
      <c r="K327" s="19" t="s">
        <v>802</v>
      </c>
    </row>
    <row r="328" spans="1:12" ht="66.599999999999994">
      <c r="A328" s="19" t="s">
        <v>20</v>
      </c>
      <c r="B328" s="19" t="s">
        <v>115</v>
      </c>
      <c r="C328" s="19" t="s">
        <v>38</v>
      </c>
      <c r="D328" s="19" t="s">
        <v>128</v>
      </c>
      <c r="E328" s="65" t="s">
        <v>127</v>
      </c>
      <c r="F328" s="19" t="str">
        <f t="shared" si="5"/>
        <v>datapoint</v>
      </c>
      <c r="G328" s="65" t="s">
        <v>120</v>
      </c>
      <c r="I328" s="19" t="s">
        <v>187</v>
      </c>
      <c r="K328" s="19" t="s">
        <v>803</v>
      </c>
    </row>
    <row r="329" spans="1:12" ht="53.4">
      <c r="A329" s="19" t="s">
        <v>21</v>
      </c>
      <c r="B329" s="19" t="s">
        <v>115</v>
      </c>
      <c r="C329" s="19" t="s">
        <v>69</v>
      </c>
      <c r="D329" s="19" t="s">
        <v>128</v>
      </c>
      <c r="E329" s="65" t="s">
        <v>130</v>
      </c>
      <c r="F329" s="19" t="str">
        <f t="shared" si="5"/>
        <v>datapoint</v>
      </c>
      <c r="G329" s="65" t="s">
        <v>134</v>
      </c>
      <c r="I329" s="19" t="s">
        <v>189</v>
      </c>
      <c r="K329" s="19" t="s">
        <v>807</v>
      </c>
    </row>
    <row r="330" spans="1:12" ht="79.2">
      <c r="A330" s="19" t="s">
        <v>22</v>
      </c>
      <c r="B330" s="19" t="s">
        <v>115</v>
      </c>
      <c r="C330" s="19" t="s">
        <v>69</v>
      </c>
      <c r="D330" s="19" t="s">
        <v>128</v>
      </c>
      <c r="E330" s="65" t="s">
        <v>131</v>
      </c>
      <c r="F330" s="19" t="s">
        <v>795</v>
      </c>
      <c r="G330" s="74" t="s">
        <v>135</v>
      </c>
    </row>
    <row r="331" spans="1:12" ht="118.8">
      <c r="A331" s="19" t="s">
        <v>23</v>
      </c>
      <c r="B331" s="19" t="s">
        <v>115</v>
      </c>
      <c r="C331" s="19" t="s">
        <v>69</v>
      </c>
      <c r="D331" s="19" t="s">
        <v>128</v>
      </c>
      <c r="E331" s="65" t="s">
        <v>132</v>
      </c>
      <c r="F331" s="19" t="s">
        <v>795</v>
      </c>
      <c r="G331" s="74" t="s">
        <v>136</v>
      </c>
    </row>
    <row r="332" spans="1:12" ht="43.2" customHeight="1">
      <c r="A332" s="19" t="s">
        <v>24</v>
      </c>
      <c r="B332" s="19" t="s">
        <v>115</v>
      </c>
      <c r="C332" s="19" t="s">
        <v>69</v>
      </c>
      <c r="D332" s="19" t="s">
        <v>128</v>
      </c>
      <c r="E332" s="65" t="s">
        <v>133</v>
      </c>
      <c r="F332" s="19" t="s">
        <v>795</v>
      </c>
      <c r="G332" s="65" t="s">
        <v>137</v>
      </c>
    </row>
    <row r="333" spans="1:12" ht="66.599999999999994">
      <c r="A333" s="19">
        <v>213</v>
      </c>
      <c r="B333" s="19" t="s">
        <v>115</v>
      </c>
      <c r="C333" s="19" t="s">
        <v>69</v>
      </c>
      <c r="D333" s="19" t="s">
        <v>128</v>
      </c>
      <c r="E333" s="65" t="s">
        <v>127</v>
      </c>
      <c r="F333" s="19" t="str">
        <f t="shared" si="5"/>
        <v>guidance</v>
      </c>
      <c r="G333" s="65" t="s">
        <v>473</v>
      </c>
      <c r="H333" s="19" t="s">
        <v>203</v>
      </c>
    </row>
    <row r="334" spans="1:12" ht="132.6">
      <c r="A334" s="19">
        <v>214</v>
      </c>
      <c r="B334" s="19" t="s">
        <v>115</v>
      </c>
      <c r="C334" s="19" t="s">
        <v>69</v>
      </c>
      <c r="D334" s="19" t="s">
        <v>128</v>
      </c>
      <c r="E334" s="65" t="s">
        <v>130</v>
      </c>
      <c r="F334" s="19" t="str">
        <f t="shared" si="5"/>
        <v>guidance</v>
      </c>
      <c r="G334" s="65" t="s">
        <v>474</v>
      </c>
    </row>
    <row r="335" spans="1:12" ht="40.200000000000003">
      <c r="A335" s="19">
        <v>215</v>
      </c>
      <c r="B335" s="19" t="s">
        <v>115</v>
      </c>
      <c r="C335" s="19" t="s">
        <v>69</v>
      </c>
      <c r="D335" s="19" t="s">
        <v>128</v>
      </c>
      <c r="E335" s="65" t="s">
        <v>131</v>
      </c>
      <c r="F335" s="19" t="str">
        <f t="shared" si="5"/>
        <v>guidance</v>
      </c>
      <c r="G335" s="65" t="s">
        <v>475</v>
      </c>
    </row>
    <row r="336" spans="1:12" ht="66.599999999999994">
      <c r="A336" s="19" t="s">
        <v>25</v>
      </c>
      <c r="B336" s="19" t="s">
        <v>115</v>
      </c>
      <c r="C336" s="19" t="s">
        <v>69</v>
      </c>
      <c r="D336" s="19" t="s">
        <v>139</v>
      </c>
      <c r="E336" s="65" t="s">
        <v>138</v>
      </c>
      <c r="F336" s="19" t="str">
        <f t="shared" si="5"/>
        <v>datapoint</v>
      </c>
      <c r="G336" s="65" t="s">
        <v>140</v>
      </c>
      <c r="H336" s="69" t="s">
        <v>94</v>
      </c>
      <c r="I336" s="19" t="s">
        <v>191</v>
      </c>
      <c r="K336" s="19" t="s">
        <v>787</v>
      </c>
    </row>
    <row r="337" spans="1:11" ht="28.8">
      <c r="A337" s="19" t="s">
        <v>25</v>
      </c>
      <c r="B337" s="19" t="s">
        <v>115</v>
      </c>
      <c r="C337" s="19" t="s">
        <v>69</v>
      </c>
      <c r="D337" s="19" t="s">
        <v>139</v>
      </c>
      <c r="E337" s="65" t="s">
        <v>138</v>
      </c>
      <c r="F337" s="19" t="str">
        <f t="shared" si="5"/>
        <v>datapoint</v>
      </c>
      <c r="G337" s="65" t="s">
        <v>141</v>
      </c>
      <c r="I337" s="19" t="s">
        <v>191</v>
      </c>
      <c r="K337" s="19" t="s">
        <v>787</v>
      </c>
    </row>
    <row r="338" spans="1:11" ht="28.8">
      <c r="A338" s="19" t="s">
        <v>25</v>
      </c>
      <c r="B338" s="19" t="s">
        <v>115</v>
      </c>
      <c r="C338" s="19" t="s">
        <v>69</v>
      </c>
      <c r="D338" s="19" t="s">
        <v>139</v>
      </c>
      <c r="E338" s="65" t="s">
        <v>138</v>
      </c>
      <c r="F338" s="19" t="str">
        <f t="shared" si="5"/>
        <v>datapoint</v>
      </c>
      <c r="G338" s="65" t="s">
        <v>142</v>
      </c>
      <c r="I338" s="19" t="s">
        <v>191</v>
      </c>
      <c r="K338" s="19" t="s">
        <v>787</v>
      </c>
    </row>
    <row r="339" spans="1:11" ht="28.8">
      <c r="A339" s="19" t="s">
        <v>25</v>
      </c>
      <c r="B339" s="19" t="s">
        <v>115</v>
      </c>
      <c r="C339" s="19" t="s">
        <v>69</v>
      </c>
      <c r="D339" s="19" t="s">
        <v>139</v>
      </c>
      <c r="E339" s="65" t="s">
        <v>138</v>
      </c>
      <c r="F339" s="19" t="str">
        <f t="shared" si="5"/>
        <v>datapoint</v>
      </c>
      <c r="G339" s="65" t="s">
        <v>143</v>
      </c>
      <c r="I339" s="19" t="s">
        <v>191</v>
      </c>
      <c r="K339" s="19" t="s">
        <v>787</v>
      </c>
    </row>
    <row r="340" spans="1:11" ht="28.8">
      <c r="A340" s="19" t="s">
        <v>25</v>
      </c>
      <c r="B340" s="19" t="s">
        <v>115</v>
      </c>
      <c r="C340" s="19" t="s">
        <v>69</v>
      </c>
      <c r="D340" s="19" t="s">
        <v>139</v>
      </c>
      <c r="E340" s="65" t="s">
        <v>138</v>
      </c>
      <c r="F340" s="19" t="str">
        <f t="shared" si="5"/>
        <v>datapoint</v>
      </c>
      <c r="G340" s="65" t="s">
        <v>515</v>
      </c>
      <c r="I340" s="19" t="s">
        <v>191</v>
      </c>
      <c r="K340" s="19" t="s">
        <v>787</v>
      </c>
    </row>
    <row r="341" spans="1:11" ht="28.8">
      <c r="A341" s="19" t="s">
        <v>25</v>
      </c>
      <c r="B341" s="19" t="s">
        <v>115</v>
      </c>
      <c r="C341" s="19" t="s">
        <v>69</v>
      </c>
      <c r="D341" s="19" t="s">
        <v>139</v>
      </c>
      <c r="E341" s="65" t="s">
        <v>138</v>
      </c>
      <c r="F341" s="19" t="str">
        <f t="shared" si="5"/>
        <v>datapoint</v>
      </c>
      <c r="G341" s="65" t="s">
        <v>517</v>
      </c>
      <c r="I341" s="19" t="s">
        <v>191</v>
      </c>
      <c r="K341" s="19" t="s">
        <v>787</v>
      </c>
    </row>
    <row r="342" spans="1:11" ht="40.200000000000003">
      <c r="A342" s="19" t="s">
        <v>26</v>
      </c>
      <c r="B342" s="19" t="s">
        <v>115</v>
      </c>
      <c r="C342" s="19" t="s">
        <v>69</v>
      </c>
      <c r="D342" s="19" t="s">
        <v>139</v>
      </c>
      <c r="E342" s="65" t="s">
        <v>138</v>
      </c>
      <c r="F342" s="19" t="str">
        <f t="shared" si="5"/>
        <v>datapoint</v>
      </c>
      <c r="G342" s="65" t="s">
        <v>144</v>
      </c>
      <c r="I342" s="19" t="s">
        <v>191</v>
      </c>
      <c r="K342" s="19" t="s">
        <v>787</v>
      </c>
    </row>
    <row r="343" spans="1:11" ht="40.200000000000003">
      <c r="A343" s="19" t="s">
        <v>27</v>
      </c>
      <c r="B343" s="19" t="s">
        <v>115</v>
      </c>
      <c r="C343" s="19" t="s">
        <v>69</v>
      </c>
      <c r="D343" s="19" t="s">
        <v>139</v>
      </c>
      <c r="E343" s="65" t="s">
        <v>138</v>
      </c>
      <c r="F343" s="19" t="str">
        <f t="shared" si="5"/>
        <v>datapoint</v>
      </c>
      <c r="G343" s="65" t="s">
        <v>145</v>
      </c>
      <c r="I343" s="19" t="s">
        <v>191</v>
      </c>
      <c r="K343" s="19" t="s">
        <v>787</v>
      </c>
    </row>
    <row r="344" spans="1:11" ht="291">
      <c r="A344" s="19">
        <v>216</v>
      </c>
      <c r="B344" s="19" t="s">
        <v>115</v>
      </c>
      <c r="C344" s="19" t="s">
        <v>69</v>
      </c>
      <c r="D344" s="19" t="s">
        <v>139</v>
      </c>
      <c r="E344" s="65" t="s">
        <v>138</v>
      </c>
      <c r="F344" s="19" t="str">
        <f t="shared" si="5"/>
        <v>guidance</v>
      </c>
      <c r="G344" s="65" t="s">
        <v>476</v>
      </c>
    </row>
    <row r="345" spans="1:11" ht="79.8">
      <c r="A345" s="19">
        <v>217</v>
      </c>
      <c r="B345" s="19" t="s">
        <v>115</v>
      </c>
      <c r="C345" s="19" t="s">
        <v>69</v>
      </c>
      <c r="D345" s="19" t="s">
        <v>139</v>
      </c>
      <c r="E345" s="65" t="s">
        <v>138</v>
      </c>
      <c r="F345" s="19" t="str">
        <f t="shared" si="5"/>
        <v>guidance</v>
      </c>
      <c r="G345" s="65" t="s">
        <v>477</v>
      </c>
    </row>
    <row r="346" spans="1:11" ht="132.6">
      <c r="A346" s="19">
        <v>218</v>
      </c>
      <c r="B346" s="19" t="s">
        <v>115</v>
      </c>
      <c r="C346" s="19" t="s">
        <v>69</v>
      </c>
      <c r="D346" s="19" t="s">
        <v>139</v>
      </c>
      <c r="E346" s="65" t="s">
        <v>138</v>
      </c>
      <c r="F346" s="19" t="str">
        <f t="shared" si="5"/>
        <v>guidance</v>
      </c>
      <c r="G346" s="65" t="s">
        <v>478</v>
      </c>
    </row>
    <row r="347" spans="1:11" ht="185.4">
      <c r="A347" s="19">
        <v>219</v>
      </c>
      <c r="B347" s="19" t="s">
        <v>115</v>
      </c>
      <c r="C347" s="19" t="s">
        <v>69</v>
      </c>
      <c r="D347" s="19" t="s">
        <v>139</v>
      </c>
      <c r="E347" s="65" t="s">
        <v>138</v>
      </c>
      <c r="F347" s="19" t="str">
        <f t="shared" si="5"/>
        <v>guidance</v>
      </c>
      <c r="G347" s="65" t="s">
        <v>479</v>
      </c>
    </row>
    <row r="348" spans="1:11" ht="53.4">
      <c r="A348" s="19">
        <v>220</v>
      </c>
      <c r="B348" s="19" t="s">
        <v>115</v>
      </c>
      <c r="C348" s="19" t="s">
        <v>69</v>
      </c>
      <c r="D348" s="19" t="s">
        <v>139</v>
      </c>
      <c r="E348" s="65" t="s">
        <v>138</v>
      </c>
      <c r="F348" s="19" t="str">
        <f t="shared" si="5"/>
        <v>guidance</v>
      </c>
      <c r="G348" s="65" t="s">
        <v>480</v>
      </c>
    </row>
    <row r="349" spans="1:11" ht="119.4">
      <c r="A349" s="19">
        <v>221</v>
      </c>
      <c r="B349" s="19" t="s">
        <v>115</v>
      </c>
      <c r="C349" s="19" t="s">
        <v>69</v>
      </c>
      <c r="D349" s="19" t="s">
        <v>139</v>
      </c>
      <c r="E349" s="65" t="s">
        <v>138</v>
      </c>
      <c r="F349" s="19" t="str">
        <f t="shared" si="5"/>
        <v>guidance</v>
      </c>
      <c r="G349" s="65" t="s">
        <v>481</v>
      </c>
    </row>
    <row r="350" spans="1:11" ht="159">
      <c r="A350" s="19">
        <v>222</v>
      </c>
      <c r="B350" s="19" t="s">
        <v>115</v>
      </c>
      <c r="C350" s="19" t="s">
        <v>69</v>
      </c>
      <c r="D350" s="19" t="s">
        <v>139</v>
      </c>
      <c r="E350" s="65" t="s">
        <v>138</v>
      </c>
      <c r="F350" s="19" t="str">
        <f t="shared" si="5"/>
        <v>guidance</v>
      </c>
      <c r="G350" s="65" t="s">
        <v>482</v>
      </c>
    </row>
    <row r="351" spans="1:11" ht="264.60000000000002">
      <c r="A351" s="19">
        <v>223</v>
      </c>
      <c r="B351" s="19" t="s">
        <v>115</v>
      </c>
      <c r="C351" s="19" t="s">
        <v>69</v>
      </c>
      <c r="D351" s="19" t="s">
        <v>139</v>
      </c>
      <c r="E351" s="65" t="s">
        <v>138</v>
      </c>
      <c r="F351" s="19" t="str">
        <f t="shared" si="5"/>
        <v>guidance</v>
      </c>
      <c r="G351" s="65" t="s">
        <v>483</v>
      </c>
    </row>
    <row r="352" spans="1:11" ht="119.4">
      <c r="A352" s="19">
        <v>224</v>
      </c>
      <c r="B352" s="19" t="s">
        <v>115</v>
      </c>
      <c r="C352" s="19" t="s">
        <v>69</v>
      </c>
      <c r="D352" s="19" t="s">
        <v>139</v>
      </c>
      <c r="E352" s="65" t="s">
        <v>138</v>
      </c>
      <c r="F352" s="19" t="str">
        <f t="shared" si="5"/>
        <v>guidance</v>
      </c>
      <c r="G352" s="65" t="s">
        <v>484</v>
      </c>
    </row>
    <row r="353" spans="1:11" ht="119.4">
      <c r="A353" s="19">
        <v>225</v>
      </c>
      <c r="B353" s="19" t="s">
        <v>115</v>
      </c>
      <c r="C353" s="19" t="s">
        <v>69</v>
      </c>
      <c r="D353" s="19" t="s">
        <v>139</v>
      </c>
      <c r="E353" s="65" t="s">
        <v>138</v>
      </c>
      <c r="F353" s="19" t="str">
        <f t="shared" si="5"/>
        <v>guidance</v>
      </c>
      <c r="G353" s="65" t="s">
        <v>485</v>
      </c>
    </row>
    <row r="354" spans="1:11" ht="79.8">
      <c r="A354" s="19">
        <v>226</v>
      </c>
      <c r="B354" s="19" t="s">
        <v>115</v>
      </c>
      <c r="C354" s="19" t="s">
        <v>69</v>
      </c>
      <c r="D354" s="19" t="s">
        <v>139</v>
      </c>
      <c r="E354" s="65" t="s">
        <v>138</v>
      </c>
      <c r="F354" s="19" t="str">
        <f t="shared" si="5"/>
        <v>guidance</v>
      </c>
      <c r="G354" s="65" t="s">
        <v>486</v>
      </c>
    </row>
    <row r="355" spans="1:11" ht="129.6">
      <c r="A355" s="19">
        <v>227</v>
      </c>
      <c r="B355" s="19" t="s">
        <v>115</v>
      </c>
      <c r="C355" s="19" t="s">
        <v>69</v>
      </c>
      <c r="D355" s="19" t="s">
        <v>139</v>
      </c>
      <c r="E355" s="65" t="s">
        <v>138</v>
      </c>
      <c r="F355" s="19" t="str">
        <f t="shared" si="5"/>
        <v>guidance</v>
      </c>
      <c r="G355" s="65" t="s">
        <v>488</v>
      </c>
      <c r="H355" s="19" t="s">
        <v>487</v>
      </c>
    </row>
    <row r="356" spans="1:11" ht="28.8">
      <c r="A356" s="19">
        <v>57</v>
      </c>
      <c r="B356" s="19" t="s">
        <v>115</v>
      </c>
      <c r="C356" s="19" t="s">
        <v>69</v>
      </c>
      <c r="D356" s="19" t="s">
        <v>146</v>
      </c>
      <c r="E356" s="19" t="s">
        <v>147</v>
      </c>
      <c r="F356" s="19" t="str">
        <f t="shared" si="5"/>
        <v>datapoint</v>
      </c>
      <c r="G356" s="65" t="s">
        <v>148</v>
      </c>
      <c r="H356" s="69" t="s">
        <v>94</v>
      </c>
      <c r="I356" s="19" t="s">
        <v>189</v>
      </c>
      <c r="K356" s="19" t="s">
        <v>809</v>
      </c>
    </row>
    <row r="357" spans="1:11" ht="28.8">
      <c r="A357" s="19">
        <v>57</v>
      </c>
      <c r="B357" s="19" t="s">
        <v>115</v>
      </c>
      <c r="C357" s="19" t="s">
        <v>69</v>
      </c>
      <c r="D357" s="19" t="s">
        <v>146</v>
      </c>
      <c r="E357" s="19" t="s">
        <v>147</v>
      </c>
      <c r="F357" s="19" t="str">
        <f t="shared" si="5"/>
        <v>datapoint</v>
      </c>
      <c r="G357" s="65" t="s">
        <v>149</v>
      </c>
      <c r="I357" s="19" t="s">
        <v>189</v>
      </c>
      <c r="K357" s="19" t="s">
        <v>809</v>
      </c>
    </row>
    <row r="358" spans="1:11" ht="28.8">
      <c r="A358" s="19">
        <v>57</v>
      </c>
      <c r="B358" s="19" t="s">
        <v>115</v>
      </c>
      <c r="C358" s="19" t="s">
        <v>69</v>
      </c>
      <c r="D358" s="19" t="s">
        <v>146</v>
      </c>
      <c r="E358" s="19" t="s">
        <v>147</v>
      </c>
      <c r="F358" s="19" t="str">
        <f t="shared" si="5"/>
        <v>datapoint</v>
      </c>
      <c r="G358" s="65" t="s">
        <v>150</v>
      </c>
      <c r="I358" s="19" t="s">
        <v>189</v>
      </c>
      <c r="K358" s="19" t="s">
        <v>809</v>
      </c>
    </row>
    <row r="359" spans="1:11" ht="28.8">
      <c r="A359" s="19">
        <v>57</v>
      </c>
      <c r="B359" s="19" t="s">
        <v>115</v>
      </c>
      <c r="C359" s="19" t="s">
        <v>69</v>
      </c>
      <c r="D359" s="19" t="s">
        <v>146</v>
      </c>
      <c r="E359" s="19" t="s">
        <v>147</v>
      </c>
      <c r="F359" s="19" t="str">
        <f t="shared" si="5"/>
        <v>datapoint</v>
      </c>
      <c r="G359" s="65" t="s">
        <v>151</v>
      </c>
      <c r="I359" s="19" t="s">
        <v>189</v>
      </c>
      <c r="K359" s="19" t="s">
        <v>809</v>
      </c>
    </row>
    <row r="360" spans="1:11" ht="28.8">
      <c r="A360" s="19">
        <v>57</v>
      </c>
      <c r="B360" s="19" t="s">
        <v>115</v>
      </c>
      <c r="C360" s="19" t="s">
        <v>69</v>
      </c>
      <c r="D360" s="19" t="s">
        <v>146</v>
      </c>
      <c r="E360" s="19" t="s">
        <v>147</v>
      </c>
      <c r="F360" s="19" t="str">
        <f t="shared" si="5"/>
        <v>datapoint</v>
      </c>
      <c r="G360" s="65" t="s">
        <v>152</v>
      </c>
      <c r="I360" s="19" t="s">
        <v>189</v>
      </c>
      <c r="K360" s="19" t="s">
        <v>787</v>
      </c>
    </row>
    <row r="361" spans="1:11" ht="28.8">
      <c r="A361" s="19">
        <v>57</v>
      </c>
      <c r="B361" s="19" t="s">
        <v>115</v>
      </c>
      <c r="C361" s="19" t="s">
        <v>69</v>
      </c>
      <c r="D361" s="19" t="s">
        <v>146</v>
      </c>
      <c r="E361" s="19" t="s">
        <v>147</v>
      </c>
      <c r="F361" s="19" t="str">
        <f t="shared" si="5"/>
        <v>datapoint</v>
      </c>
      <c r="G361" s="65" t="s">
        <v>516</v>
      </c>
      <c r="I361" s="19" t="s">
        <v>189</v>
      </c>
      <c r="K361" s="18" t="s">
        <v>787</v>
      </c>
    </row>
    <row r="362" spans="1:11" ht="53.4">
      <c r="A362" s="19" t="s">
        <v>28</v>
      </c>
      <c r="B362" s="19" t="s">
        <v>115</v>
      </c>
      <c r="C362" s="19" t="s">
        <v>69</v>
      </c>
      <c r="D362" s="19" t="s">
        <v>146</v>
      </c>
      <c r="E362" s="19" t="s">
        <v>147</v>
      </c>
      <c r="F362" s="19" t="str">
        <f t="shared" si="5"/>
        <v>datapoint</v>
      </c>
      <c r="G362" s="65" t="s">
        <v>153</v>
      </c>
      <c r="I362" s="19" t="s">
        <v>187</v>
      </c>
      <c r="K362" s="19" t="s">
        <v>809</v>
      </c>
    </row>
    <row r="363" spans="1:11" ht="172.2">
      <c r="A363" s="19">
        <v>228</v>
      </c>
      <c r="B363" s="19" t="s">
        <v>115</v>
      </c>
      <c r="C363" s="19" t="s">
        <v>69</v>
      </c>
      <c r="D363" s="19" t="s">
        <v>146</v>
      </c>
      <c r="E363" s="19" t="s">
        <v>147</v>
      </c>
      <c r="F363" s="19" t="str">
        <f t="shared" si="5"/>
        <v>guidance</v>
      </c>
      <c r="G363" s="65" t="s">
        <v>489</v>
      </c>
    </row>
    <row r="364" spans="1:11" ht="66.599999999999994">
      <c r="A364" s="19">
        <v>229</v>
      </c>
      <c r="B364" s="19" t="s">
        <v>115</v>
      </c>
      <c r="C364" s="19" t="s">
        <v>69</v>
      </c>
      <c r="D364" s="19" t="s">
        <v>146</v>
      </c>
      <c r="E364" s="19" t="s">
        <v>147</v>
      </c>
      <c r="F364" s="19" t="str">
        <f>IF(VALUE(A364)&gt;66,"guidance","datapoint")</f>
        <v>guidance</v>
      </c>
      <c r="G364" s="65" t="s">
        <v>490</v>
      </c>
    </row>
    <row r="365" spans="1:11" ht="40.200000000000003">
      <c r="A365" s="19">
        <v>230</v>
      </c>
      <c r="B365" s="19" t="s">
        <v>115</v>
      </c>
      <c r="C365" s="19" t="s">
        <v>69</v>
      </c>
      <c r="D365" s="19" t="s">
        <v>146</v>
      </c>
      <c r="E365" s="19" t="s">
        <v>147</v>
      </c>
      <c r="F365" s="19" t="str">
        <f t="shared" ref="F365:F412" si="6">IF(VALUE(A365)&gt;66,"guidance","datapoint")</f>
        <v>guidance</v>
      </c>
      <c r="G365" s="65" t="s">
        <v>491</v>
      </c>
    </row>
    <row r="366" spans="1:11" ht="28.8">
      <c r="A366" s="19" t="s">
        <v>29</v>
      </c>
      <c r="B366" s="19" t="s">
        <v>115</v>
      </c>
      <c r="C366" s="19" t="s">
        <v>95</v>
      </c>
      <c r="D366" s="19" t="s">
        <v>154</v>
      </c>
      <c r="E366" s="65" t="s">
        <v>156</v>
      </c>
      <c r="F366" s="19" t="str">
        <f t="shared" si="6"/>
        <v>datapoint</v>
      </c>
      <c r="G366" s="65" t="s">
        <v>159</v>
      </c>
      <c r="I366" s="19" t="s">
        <v>191</v>
      </c>
      <c r="K366" s="19" t="s">
        <v>724</v>
      </c>
    </row>
    <row r="367" spans="1:11" ht="53.4">
      <c r="A367" s="19" t="s">
        <v>30</v>
      </c>
      <c r="B367" s="19" t="s">
        <v>115</v>
      </c>
      <c r="C367" s="19" t="s">
        <v>95</v>
      </c>
      <c r="D367" s="19" t="s">
        <v>154</v>
      </c>
      <c r="E367" s="65" t="s">
        <v>156</v>
      </c>
      <c r="F367" s="19" t="str">
        <f t="shared" si="6"/>
        <v>datapoint</v>
      </c>
      <c r="G367" s="65" t="s">
        <v>158</v>
      </c>
      <c r="I367" s="19" t="s">
        <v>191</v>
      </c>
      <c r="K367" s="19" t="s">
        <v>724</v>
      </c>
    </row>
    <row r="368" spans="1:11" ht="40.200000000000003">
      <c r="A368" s="19">
        <v>231</v>
      </c>
      <c r="B368" s="19" t="s">
        <v>115</v>
      </c>
      <c r="C368" s="19" t="s">
        <v>95</v>
      </c>
      <c r="D368" s="19" t="s">
        <v>154</v>
      </c>
      <c r="E368" s="65" t="s">
        <v>156</v>
      </c>
      <c r="F368" s="19" t="str">
        <f t="shared" si="6"/>
        <v>guidance</v>
      </c>
      <c r="G368" s="65" t="s">
        <v>492</v>
      </c>
    </row>
    <row r="369" spans="1:11" ht="28.8">
      <c r="A369" s="19">
        <v>231</v>
      </c>
      <c r="B369" s="19" t="s">
        <v>115</v>
      </c>
      <c r="C369" s="19" t="s">
        <v>95</v>
      </c>
      <c r="D369" s="19" t="s">
        <v>154</v>
      </c>
      <c r="E369" s="65" t="s">
        <v>156</v>
      </c>
      <c r="F369" s="19" t="str">
        <f t="shared" si="6"/>
        <v>guidance</v>
      </c>
      <c r="G369" s="65" t="s">
        <v>493</v>
      </c>
    </row>
    <row r="370" spans="1:11" ht="28.8">
      <c r="A370" s="19">
        <v>232</v>
      </c>
      <c r="B370" s="19" t="s">
        <v>115</v>
      </c>
      <c r="C370" s="19" t="s">
        <v>95</v>
      </c>
      <c r="D370" s="19" t="s">
        <v>154</v>
      </c>
      <c r="E370" s="65" t="s">
        <v>156</v>
      </c>
      <c r="F370" s="19" t="str">
        <f t="shared" si="6"/>
        <v>guidance</v>
      </c>
      <c r="G370" s="65" t="s">
        <v>494</v>
      </c>
    </row>
    <row r="371" spans="1:11" ht="40.200000000000003">
      <c r="A371" s="19">
        <v>233</v>
      </c>
      <c r="B371" s="19" t="s">
        <v>115</v>
      </c>
      <c r="C371" s="19" t="s">
        <v>95</v>
      </c>
      <c r="D371" s="19" t="s">
        <v>154</v>
      </c>
      <c r="E371" s="65" t="s">
        <v>156</v>
      </c>
      <c r="F371" s="19" t="str">
        <f t="shared" si="6"/>
        <v>guidance</v>
      </c>
      <c r="G371" s="65" t="s">
        <v>495</v>
      </c>
    </row>
    <row r="372" spans="1:11" ht="79.8">
      <c r="A372" s="19">
        <v>234</v>
      </c>
      <c r="B372" s="19" t="s">
        <v>115</v>
      </c>
      <c r="C372" s="19" t="s">
        <v>95</v>
      </c>
      <c r="D372" s="19" t="s">
        <v>154</v>
      </c>
      <c r="E372" s="65" t="s">
        <v>156</v>
      </c>
      <c r="F372" s="19" t="str">
        <f t="shared" si="6"/>
        <v>guidance</v>
      </c>
      <c r="G372" s="65" t="s">
        <v>496</v>
      </c>
    </row>
    <row r="373" spans="1:11" ht="53.4">
      <c r="A373" s="19">
        <v>235</v>
      </c>
      <c r="B373" s="19" t="s">
        <v>115</v>
      </c>
      <c r="C373" s="19" t="s">
        <v>95</v>
      </c>
      <c r="D373" s="19" t="s">
        <v>154</v>
      </c>
      <c r="E373" s="65" t="s">
        <v>156</v>
      </c>
      <c r="F373" s="19" t="str">
        <f t="shared" si="6"/>
        <v>guidance</v>
      </c>
      <c r="G373" s="65" t="s">
        <v>497</v>
      </c>
      <c r="H373" s="19" t="s">
        <v>203</v>
      </c>
    </row>
    <row r="374" spans="1:11" ht="28.8">
      <c r="A374" s="19">
        <v>236</v>
      </c>
      <c r="B374" s="19" t="s">
        <v>115</v>
      </c>
      <c r="C374" s="19" t="s">
        <v>95</v>
      </c>
      <c r="D374" s="19" t="s">
        <v>154</v>
      </c>
      <c r="E374" s="65" t="s">
        <v>156</v>
      </c>
      <c r="F374" s="19" t="str">
        <f t="shared" si="6"/>
        <v>guidance</v>
      </c>
      <c r="G374" s="65" t="s">
        <v>498</v>
      </c>
    </row>
    <row r="375" spans="1:11" ht="40.200000000000003">
      <c r="A375" s="19">
        <v>61</v>
      </c>
      <c r="B375" s="19" t="s">
        <v>115</v>
      </c>
      <c r="C375" s="19" t="s">
        <v>95</v>
      </c>
      <c r="D375" s="19" t="s">
        <v>155</v>
      </c>
      <c r="E375" s="65" t="s">
        <v>500</v>
      </c>
      <c r="F375" s="19" t="str">
        <f t="shared" si="6"/>
        <v>datapoint</v>
      </c>
      <c r="G375" s="65" t="s">
        <v>157</v>
      </c>
      <c r="H375" s="69" t="s">
        <v>94</v>
      </c>
      <c r="I375" s="19" t="s">
        <v>189</v>
      </c>
      <c r="K375" s="19" t="s">
        <v>800</v>
      </c>
    </row>
    <row r="376" spans="1:11" ht="40.200000000000003">
      <c r="A376" s="19">
        <v>61</v>
      </c>
      <c r="B376" s="19" t="s">
        <v>115</v>
      </c>
      <c r="C376" s="19" t="s">
        <v>95</v>
      </c>
      <c r="D376" s="19" t="s">
        <v>155</v>
      </c>
      <c r="E376" s="65" t="s">
        <v>500</v>
      </c>
      <c r="F376" s="19" t="str">
        <f t="shared" si="6"/>
        <v>datapoint</v>
      </c>
      <c r="G376" s="67" t="s">
        <v>160</v>
      </c>
      <c r="I376" s="19" t="s">
        <v>189</v>
      </c>
      <c r="K376" s="19" t="s">
        <v>800</v>
      </c>
    </row>
    <row r="377" spans="1:11" ht="40.200000000000003">
      <c r="A377" s="19">
        <v>61</v>
      </c>
      <c r="B377" s="19" t="s">
        <v>115</v>
      </c>
      <c r="C377" s="19" t="s">
        <v>95</v>
      </c>
      <c r="D377" s="19" t="s">
        <v>155</v>
      </c>
      <c r="E377" s="65" t="s">
        <v>500</v>
      </c>
      <c r="F377" s="19" t="str">
        <f t="shared" si="6"/>
        <v>datapoint</v>
      </c>
      <c r="G377" s="67" t="s">
        <v>161</v>
      </c>
      <c r="I377" s="19" t="s">
        <v>189</v>
      </c>
      <c r="K377" s="19" t="s">
        <v>800</v>
      </c>
    </row>
    <row r="378" spans="1:11" ht="40.200000000000003">
      <c r="A378" s="19">
        <v>61</v>
      </c>
      <c r="B378" s="19" t="s">
        <v>115</v>
      </c>
      <c r="C378" s="19" t="s">
        <v>95</v>
      </c>
      <c r="D378" s="19" t="s">
        <v>155</v>
      </c>
      <c r="E378" s="65" t="s">
        <v>500</v>
      </c>
      <c r="F378" s="19" t="str">
        <f t="shared" si="6"/>
        <v>datapoint</v>
      </c>
      <c r="G378" s="65" t="s">
        <v>162</v>
      </c>
      <c r="I378" s="19" t="s">
        <v>189</v>
      </c>
      <c r="K378" s="19" t="s">
        <v>800</v>
      </c>
    </row>
    <row r="379" spans="1:11" ht="40.200000000000003">
      <c r="A379" s="19">
        <v>61</v>
      </c>
      <c r="B379" s="19" t="s">
        <v>115</v>
      </c>
      <c r="C379" s="19" t="s">
        <v>95</v>
      </c>
      <c r="D379" s="19" t="s">
        <v>155</v>
      </c>
      <c r="E379" s="65" t="s">
        <v>500</v>
      </c>
      <c r="F379" s="19" t="str">
        <f t="shared" si="6"/>
        <v>datapoint</v>
      </c>
      <c r="G379" s="65" t="s">
        <v>163</v>
      </c>
      <c r="I379" s="19" t="s">
        <v>189</v>
      </c>
      <c r="K379" s="19" t="s">
        <v>800</v>
      </c>
    </row>
    <row r="380" spans="1:11" ht="40.200000000000003">
      <c r="A380" s="19">
        <v>61</v>
      </c>
      <c r="B380" s="19" t="s">
        <v>115</v>
      </c>
      <c r="C380" s="19" t="s">
        <v>95</v>
      </c>
      <c r="D380" s="19" t="s">
        <v>155</v>
      </c>
      <c r="E380" s="65" t="s">
        <v>500</v>
      </c>
      <c r="F380" s="19" t="str">
        <f t="shared" si="6"/>
        <v>datapoint</v>
      </c>
      <c r="G380" s="65" t="s">
        <v>164</v>
      </c>
      <c r="I380" s="19" t="s">
        <v>189</v>
      </c>
      <c r="K380" s="19" t="s">
        <v>800</v>
      </c>
    </row>
    <row r="381" spans="1:11" ht="40.200000000000003">
      <c r="A381" s="19">
        <v>61</v>
      </c>
      <c r="B381" s="19" t="s">
        <v>115</v>
      </c>
      <c r="C381" s="19" t="s">
        <v>95</v>
      </c>
      <c r="D381" s="19" t="s">
        <v>155</v>
      </c>
      <c r="E381" s="65" t="s">
        <v>500</v>
      </c>
      <c r="F381" s="19" t="str">
        <f t="shared" si="6"/>
        <v>datapoint</v>
      </c>
      <c r="G381" s="65" t="s">
        <v>165</v>
      </c>
      <c r="I381" s="19" t="s">
        <v>189</v>
      </c>
      <c r="K381" s="19" t="s">
        <v>800</v>
      </c>
    </row>
    <row r="382" spans="1:11" ht="40.200000000000003">
      <c r="A382" s="19">
        <v>61</v>
      </c>
      <c r="B382" s="19" t="s">
        <v>115</v>
      </c>
      <c r="C382" s="19" t="s">
        <v>95</v>
      </c>
      <c r="D382" s="19" t="s">
        <v>155</v>
      </c>
      <c r="E382" s="65" t="s">
        <v>500</v>
      </c>
      <c r="F382" s="19" t="str">
        <f t="shared" si="6"/>
        <v>datapoint</v>
      </c>
      <c r="G382" s="65" t="s">
        <v>166</v>
      </c>
      <c r="I382" s="19" t="s">
        <v>189</v>
      </c>
      <c r="K382" s="19" t="s">
        <v>800</v>
      </c>
    </row>
    <row r="383" spans="1:11" ht="40.200000000000003">
      <c r="A383" s="19">
        <v>61</v>
      </c>
      <c r="B383" s="19" t="s">
        <v>115</v>
      </c>
      <c r="C383" s="19" t="s">
        <v>95</v>
      </c>
      <c r="D383" s="19" t="s">
        <v>155</v>
      </c>
      <c r="E383" s="65" t="s">
        <v>500</v>
      </c>
      <c r="F383" s="19" t="str">
        <f t="shared" si="6"/>
        <v>datapoint</v>
      </c>
      <c r="G383" s="65" t="s">
        <v>167</v>
      </c>
      <c r="I383" s="19" t="s">
        <v>189</v>
      </c>
      <c r="K383" s="19" t="s">
        <v>800</v>
      </c>
    </row>
    <row r="384" spans="1:11" ht="40.200000000000003">
      <c r="A384" s="19">
        <v>61</v>
      </c>
      <c r="B384" s="19" t="s">
        <v>115</v>
      </c>
      <c r="C384" s="19" t="s">
        <v>95</v>
      </c>
      <c r="D384" s="19" t="s">
        <v>155</v>
      </c>
      <c r="E384" s="65" t="s">
        <v>500</v>
      </c>
      <c r="F384" s="19" t="str">
        <f t="shared" si="6"/>
        <v>datapoint</v>
      </c>
      <c r="G384" s="67" t="s">
        <v>168</v>
      </c>
      <c r="I384" s="19" t="s">
        <v>189</v>
      </c>
      <c r="K384" s="19" t="s">
        <v>801</v>
      </c>
    </row>
    <row r="385" spans="1:11" ht="40.200000000000003">
      <c r="A385" s="19">
        <v>237</v>
      </c>
      <c r="B385" s="19" t="s">
        <v>115</v>
      </c>
      <c r="C385" s="19" t="s">
        <v>95</v>
      </c>
      <c r="D385" s="19" t="s">
        <v>155</v>
      </c>
      <c r="E385" s="65" t="s">
        <v>500</v>
      </c>
      <c r="F385" s="19" t="str">
        <f>IF(VALUE(A385)&gt;66,"guidance","datapoint")</f>
        <v>guidance</v>
      </c>
      <c r="G385" s="67" t="s">
        <v>499</v>
      </c>
    </row>
    <row r="386" spans="1:11" ht="28.8">
      <c r="A386" s="19" t="s">
        <v>31</v>
      </c>
      <c r="B386" s="19" t="s">
        <v>115</v>
      </c>
      <c r="C386" s="19" t="s">
        <v>95</v>
      </c>
      <c r="D386" s="19" t="s">
        <v>170</v>
      </c>
      <c r="E386" s="65" t="s">
        <v>169</v>
      </c>
      <c r="F386" s="19" t="str">
        <f t="shared" si="6"/>
        <v>datapoint</v>
      </c>
      <c r="G386" s="65" t="s">
        <v>171</v>
      </c>
      <c r="H386" s="69" t="s">
        <v>94</v>
      </c>
      <c r="I386" s="19" t="s">
        <v>189</v>
      </c>
      <c r="K386" s="19" t="s">
        <v>748</v>
      </c>
    </row>
    <row r="387" spans="1:11" ht="28.8">
      <c r="A387" s="19" t="s">
        <v>31</v>
      </c>
      <c r="B387" s="19" t="s">
        <v>115</v>
      </c>
      <c r="C387" s="19" t="s">
        <v>95</v>
      </c>
      <c r="D387" s="19" t="s">
        <v>170</v>
      </c>
      <c r="E387" s="65" t="s">
        <v>169</v>
      </c>
      <c r="F387" s="19" t="str">
        <f t="shared" si="6"/>
        <v>datapoint</v>
      </c>
      <c r="G387" s="67" t="s">
        <v>172</v>
      </c>
      <c r="I387" s="19" t="s">
        <v>189</v>
      </c>
      <c r="K387" s="19" t="s">
        <v>748</v>
      </c>
    </row>
    <row r="388" spans="1:11" ht="28.8">
      <c r="A388" s="19" t="s">
        <v>31</v>
      </c>
      <c r="B388" s="19" t="s">
        <v>115</v>
      </c>
      <c r="C388" s="19" t="s">
        <v>95</v>
      </c>
      <c r="D388" s="19" t="s">
        <v>170</v>
      </c>
      <c r="E388" s="65" t="s">
        <v>169</v>
      </c>
      <c r="F388" s="19" t="str">
        <f t="shared" si="6"/>
        <v>datapoint</v>
      </c>
      <c r="G388" s="65" t="s">
        <v>163</v>
      </c>
      <c r="I388" s="19" t="s">
        <v>189</v>
      </c>
      <c r="K388" s="19" t="s">
        <v>748</v>
      </c>
    </row>
    <row r="389" spans="1:11" ht="28.8">
      <c r="A389" s="19" t="s">
        <v>31</v>
      </c>
      <c r="B389" s="19" t="s">
        <v>115</v>
      </c>
      <c r="C389" s="19" t="s">
        <v>95</v>
      </c>
      <c r="D389" s="19" t="s">
        <v>170</v>
      </c>
      <c r="E389" s="65" t="s">
        <v>169</v>
      </c>
      <c r="F389" s="19" t="str">
        <f t="shared" si="6"/>
        <v>datapoint</v>
      </c>
      <c r="G389" s="65" t="s">
        <v>173</v>
      </c>
      <c r="I389" s="19" t="s">
        <v>189</v>
      </c>
      <c r="K389" s="19" t="s">
        <v>748</v>
      </c>
    </row>
    <row r="390" spans="1:11" ht="28.8">
      <c r="A390" s="19" t="s">
        <v>31</v>
      </c>
      <c r="B390" s="19" t="s">
        <v>115</v>
      </c>
      <c r="C390" s="19" t="s">
        <v>95</v>
      </c>
      <c r="D390" s="19" t="s">
        <v>170</v>
      </c>
      <c r="E390" s="65" t="s">
        <v>169</v>
      </c>
      <c r="F390" s="19" t="str">
        <f t="shared" si="6"/>
        <v>datapoint</v>
      </c>
      <c r="G390" s="65" t="s">
        <v>174</v>
      </c>
      <c r="I390" s="19" t="s">
        <v>189</v>
      </c>
      <c r="K390" s="19" t="s">
        <v>748</v>
      </c>
    </row>
    <row r="391" spans="1:11" ht="28.8">
      <c r="A391" s="19" t="s">
        <v>31</v>
      </c>
      <c r="B391" s="19" t="s">
        <v>115</v>
      </c>
      <c r="C391" s="19" t="s">
        <v>95</v>
      </c>
      <c r="D391" s="19" t="s">
        <v>170</v>
      </c>
      <c r="E391" s="65" t="s">
        <v>169</v>
      </c>
      <c r="F391" s="19" t="str">
        <f t="shared" si="6"/>
        <v>datapoint</v>
      </c>
      <c r="G391" s="65" t="s">
        <v>175</v>
      </c>
      <c r="I391" s="19" t="s">
        <v>189</v>
      </c>
      <c r="K391" s="19" t="s">
        <v>748</v>
      </c>
    </row>
    <row r="392" spans="1:11" ht="28.8">
      <c r="A392" s="19" t="s">
        <v>31</v>
      </c>
      <c r="B392" s="19" t="s">
        <v>115</v>
      </c>
      <c r="C392" s="19" t="s">
        <v>95</v>
      </c>
      <c r="D392" s="19" t="s">
        <v>170</v>
      </c>
      <c r="E392" s="65" t="s">
        <v>169</v>
      </c>
      <c r="F392" s="19" t="str">
        <f t="shared" si="6"/>
        <v>datapoint</v>
      </c>
      <c r="G392" s="67" t="s">
        <v>176</v>
      </c>
      <c r="I392" s="19" t="s">
        <v>189</v>
      </c>
      <c r="K392" s="19" t="s">
        <v>748</v>
      </c>
    </row>
    <row r="393" spans="1:11" ht="40.200000000000003">
      <c r="A393" s="19" t="s">
        <v>31</v>
      </c>
      <c r="B393" s="19" t="s">
        <v>115</v>
      </c>
      <c r="C393" s="19" t="s">
        <v>95</v>
      </c>
      <c r="D393" s="19" t="s">
        <v>170</v>
      </c>
      <c r="E393" s="65" t="s">
        <v>169</v>
      </c>
      <c r="F393" s="19" t="str">
        <f t="shared" si="6"/>
        <v>datapoint</v>
      </c>
      <c r="G393" s="67" t="s">
        <v>177</v>
      </c>
      <c r="I393" s="19" t="s">
        <v>189</v>
      </c>
      <c r="K393" s="19" t="s">
        <v>748</v>
      </c>
    </row>
    <row r="394" spans="1:11" ht="79.8">
      <c r="A394" s="19">
        <v>238</v>
      </c>
      <c r="B394" s="19" t="s">
        <v>115</v>
      </c>
      <c r="C394" s="19" t="s">
        <v>95</v>
      </c>
      <c r="D394" s="19" t="s">
        <v>170</v>
      </c>
      <c r="E394" s="65" t="s">
        <v>169</v>
      </c>
      <c r="F394" s="19" t="str">
        <f t="shared" si="6"/>
        <v>guidance</v>
      </c>
      <c r="G394" s="67" t="s">
        <v>501</v>
      </c>
    </row>
    <row r="395" spans="1:11" ht="53.4">
      <c r="A395" s="19" t="s">
        <v>32</v>
      </c>
      <c r="B395" s="19" t="s">
        <v>115</v>
      </c>
      <c r="C395" s="19" t="s">
        <v>111</v>
      </c>
      <c r="D395" s="19" t="s">
        <v>178</v>
      </c>
      <c r="E395" s="65" t="s">
        <v>502</v>
      </c>
      <c r="F395" s="19" t="str">
        <f t="shared" si="6"/>
        <v>datapoint</v>
      </c>
      <c r="G395" s="65" t="s">
        <v>180</v>
      </c>
      <c r="H395" s="69" t="s">
        <v>94</v>
      </c>
      <c r="I395" s="19" t="s">
        <v>189</v>
      </c>
      <c r="K395" s="19" t="s">
        <v>678</v>
      </c>
    </row>
    <row r="396" spans="1:11" ht="53.4">
      <c r="A396" s="19" t="s">
        <v>32</v>
      </c>
      <c r="B396" s="19" t="s">
        <v>115</v>
      </c>
      <c r="C396" s="19" t="s">
        <v>111</v>
      </c>
      <c r="D396" s="19" t="s">
        <v>178</v>
      </c>
      <c r="E396" s="65" t="s">
        <v>502</v>
      </c>
      <c r="F396" s="19" t="str">
        <f t="shared" si="6"/>
        <v>datapoint</v>
      </c>
      <c r="G396" s="65" t="s">
        <v>181</v>
      </c>
      <c r="I396" s="19" t="s">
        <v>189</v>
      </c>
      <c r="K396" s="19" t="s">
        <v>678</v>
      </c>
    </row>
    <row r="397" spans="1:11" ht="53.4">
      <c r="A397" s="19" t="s">
        <v>32</v>
      </c>
      <c r="B397" s="19" t="s">
        <v>115</v>
      </c>
      <c r="C397" s="19" t="s">
        <v>111</v>
      </c>
      <c r="D397" s="19" t="s">
        <v>178</v>
      </c>
      <c r="E397" s="65" t="s">
        <v>502</v>
      </c>
      <c r="F397" s="19" t="str">
        <f t="shared" si="6"/>
        <v>datapoint</v>
      </c>
      <c r="G397" s="65" t="s">
        <v>182</v>
      </c>
      <c r="I397" s="19" t="s">
        <v>189</v>
      </c>
      <c r="K397" s="19" t="s">
        <v>678</v>
      </c>
    </row>
    <row r="398" spans="1:11" ht="79.8">
      <c r="A398" s="19" t="s">
        <v>32</v>
      </c>
      <c r="B398" s="19" t="s">
        <v>115</v>
      </c>
      <c r="C398" s="19" t="s">
        <v>111</v>
      </c>
      <c r="D398" s="19" t="s">
        <v>178</v>
      </c>
      <c r="E398" s="65" t="s">
        <v>502</v>
      </c>
      <c r="F398" s="19" t="str">
        <f t="shared" si="6"/>
        <v>datapoint</v>
      </c>
      <c r="G398" s="65" t="s">
        <v>183</v>
      </c>
      <c r="I398" s="19" t="s">
        <v>189</v>
      </c>
      <c r="K398" s="19" t="s">
        <v>678</v>
      </c>
    </row>
    <row r="399" spans="1:11" ht="53.4">
      <c r="A399" s="19" t="s">
        <v>32</v>
      </c>
      <c r="B399" s="19" t="s">
        <v>115</v>
      </c>
      <c r="C399" s="19" t="s">
        <v>111</v>
      </c>
      <c r="D399" s="19" t="s">
        <v>178</v>
      </c>
      <c r="E399" s="65" t="s">
        <v>502</v>
      </c>
      <c r="F399" s="19" t="str">
        <f t="shared" si="6"/>
        <v>datapoint</v>
      </c>
      <c r="G399" s="65" t="s">
        <v>184</v>
      </c>
      <c r="I399" s="19" t="s">
        <v>189</v>
      </c>
      <c r="K399" s="19" t="s">
        <v>678</v>
      </c>
    </row>
    <row r="400" spans="1:11" ht="53.4">
      <c r="A400" s="19">
        <v>64</v>
      </c>
      <c r="B400" s="19" t="s">
        <v>115</v>
      </c>
      <c r="C400" s="19" t="s">
        <v>111</v>
      </c>
      <c r="D400" s="19" t="s">
        <v>178</v>
      </c>
      <c r="E400" s="65" t="str">
        <f>$E$395</f>
        <v>Revenues from certain sectors and exclusion from EU reference benchmarks</v>
      </c>
      <c r="F400" s="19" t="str">
        <f t="shared" si="6"/>
        <v>datapoint</v>
      </c>
      <c r="G400" s="65" t="s">
        <v>504</v>
      </c>
      <c r="I400" s="19" t="s">
        <v>187</v>
      </c>
      <c r="K400" s="19" t="s">
        <v>678</v>
      </c>
    </row>
    <row r="401" spans="1:11" ht="53.4">
      <c r="A401" s="19">
        <v>239</v>
      </c>
      <c r="B401" s="19" t="s">
        <v>115</v>
      </c>
      <c r="C401" s="19" t="s">
        <v>111</v>
      </c>
      <c r="D401" s="19" t="s">
        <v>178</v>
      </c>
      <c r="E401" s="65" t="str">
        <f>$E$395</f>
        <v>Revenues from certain sectors and exclusion from EU reference benchmarks</v>
      </c>
      <c r="F401" s="19" t="str">
        <f t="shared" si="6"/>
        <v>guidance</v>
      </c>
      <c r="G401" s="65" t="s">
        <v>505</v>
      </c>
    </row>
    <row r="402" spans="1:11" ht="53.4">
      <c r="A402" s="19">
        <v>240</v>
      </c>
      <c r="B402" s="19" t="s">
        <v>115</v>
      </c>
      <c r="C402" s="19" t="s">
        <v>111</v>
      </c>
      <c r="D402" s="19" t="s">
        <v>178</v>
      </c>
      <c r="E402" s="65" t="str">
        <f>$E$395</f>
        <v>Revenues from certain sectors and exclusion from EU reference benchmarks</v>
      </c>
      <c r="F402" s="19" t="str">
        <f t="shared" si="6"/>
        <v>guidance</v>
      </c>
      <c r="G402" s="65" t="s">
        <v>506</v>
      </c>
    </row>
    <row r="403" spans="1:11" ht="53.4">
      <c r="A403" s="19">
        <v>241</v>
      </c>
      <c r="B403" s="19" t="s">
        <v>115</v>
      </c>
      <c r="C403" s="19" t="s">
        <v>111</v>
      </c>
      <c r="D403" s="19" t="s">
        <v>178</v>
      </c>
      <c r="E403" s="65" t="str">
        <f>$E$395</f>
        <v>Revenues from certain sectors and exclusion from EU reference benchmarks</v>
      </c>
      <c r="F403" s="19" t="str">
        <f t="shared" si="6"/>
        <v>guidance</v>
      </c>
      <c r="G403" s="65" t="s">
        <v>507</v>
      </c>
    </row>
    <row r="404" spans="1:11" ht="53.4">
      <c r="A404" s="19">
        <v>241</v>
      </c>
      <c r="B404" s="19" t="s">
        <v>115</v>
      </c>
      <c r="C404" s="19" t="s">
        <v>111</v>
      </c>
      <c r="D404" s="19" t="s">
        <v>178</v>
      </c>
      <c r="E404" s="65" t="str">
        <f t="shared" ref="E404:E407" si="7">$E$395</f>
        <v>Revenues from certain sectors and exclusion from EU reference benchmarks</v>
      </c>
      <c r="F404" s="19" t="str">
        <f t="shared" si="6"/>
        <v>guidance</v>
      </c>
      <c r="G404" s="65" t="s">
        <v>508</v>
      </c>
    </row>
    <row r="405" spans="1:11" ht="53.4">
      <c r="A405" s="19">
        <v>241</v>
      </c>
      <c r="B405" s="19" t="s">
        <v>115</v>
      </c>
      <c r="C405" s="19" t="s">
        <v>111</v>
      </c>
      <c r="D405" s="19" t="s">
        <v>178</v>
      </c>
      <c r="E405" s="65" t="str">
        <f t="shared" si="7"/>
        <v>Revenues from certain sectors and exclusion from EU reference benchmarks</v>
      </c>
      <c r="F405" s="19" t="str">
        <f t="shared" si="6"/>
        <v>guidance</v>
      </c>
      <c r="G405" s="65" t="s">
        <v>509</v>
      </c>
    </row>
    <row r="406" spans="1:11" ht="53.4">
      <c r="A406" s="19">
        <v>241</v>
      </c>
      <c r="B406" s="19" t="s">
        <v>115</v>
      </c>
      <c r="C406" s="19" t="s">
        <v>111</v>
      </c>
      <c r="D406" s="19" t="s">
        <v>178</v>
      </c>
      <c r="E406" s="65" t="str">
        <f t="shared" si="7"/>
        <v>Revenues from certain sectors and exclusion from EU reference benchmarks</v>
      </c>
      <c r="F406" s="19" t="str">
        <f t="shared" si="6"/>
        <v>guidance</v>
      </c>
      <c r="G406" s="65" t="s">
        <v>510</v>
      </c>
    </row>
    <row r="407" spans="1:11" ht="53.4">
      <c r="A407" s="19">
        <v>241</v>
      </c>
      <c r="B407" s="19" t="s">
        <v>115</v>
      </c>
      <c r="C407" s="19" t="s">
        <v>111</v>
      </c>
      <c r="D407" s="19" t="s">
        <v>178</v>
      </c>
      <c r="E407" s="65" t="str">
        <f t="shared" si="7"/>
        <v>Revenues from certain sectors and exclusion from EU reference benchmarks</v>
      </c>
      <c r="F407" s="19" t="str">
        <f t="shared" si="6"/>
        <v>guidance</v>
      </c>
      <c r="G407" s="65" t="s">
        <v>511</v>
      </c>
    </row>
    <row r="408" spans="1:11" ht="28.8">
      <c r="A408" s="19" t="s">
        <v>33</v>
      </c>
      <c r="B408" s="19" t="s">
        <v>115</v>
      </c>
      <c r="C408" s="19" t="s">
        <v>111</v>
      </c>
      <c r="D408" s="19" t="s">
        <v>179</v>
      </c>
      <c r="E408" s="65" t="s">
        <v>503</v>
      </c>
      <c r="F408" s="19" t="str">
        <f t="shared" si="6"/>
        <v>datapoint</v>
      </c>
      <c r="G408" s="65" t="s">
        <v>790</v>
      </c>
      <c r="I408" s="19" t="s">
        <v>191</v>
      </c>
      <c r="K408" s="19" t="s">
        <v>791</v>
      </c>
    </row>
    <row r="409" spans="1:11" ht="43.2">
      <c r="A409" s="19">
        <v>242</v>
      </c>
      <c r="B409" s="19" t="s">
        <v>115</v>
      </c>
      <c r="C409" s="19" t="s">
        <v>111</v>
      </c>
      <c r="D409" s="19" t="s">
        <v>179</v>
      </c>
      <c r="E409" s="65" t="s">
        <v>503</v>
      </c>
      <c r="F409" s="19" t="str">
        <f t="shared" si="6"/>
        <v>guidance</v>
      </c>
      <c r="G409" s="19" t="s">
        <v>512</v>
      </c>
    </row>
    <row r="410" spans="1:11" ht="43.2">
      <c r="A410" s="19">
        <v>243</v>
      </c>
      <c r="B410" s="19" t="s">
        <v>115</v>
      </c>
      <c r="C410" s="19" t="s">
        <v>111</v>
      </c>
      <c r="D410" s="19" t="s">
        <v>179</v>
      </c>
      <c r="E410" s="65" t="s">
        <v>503</v>
      </c>
      <c r="F410" s="19" t="str">
        <f t="shared" si="6"/>
        <v>guidance</v>
      </c>
      <c r="G410" s="19" t="s">
        <v>513</v>
      </c>
    </row>
    <row r="411" spans="1:11" ht="28.8">
      <c r="A411" s="19">
        <v>243</v>
      </c>
      <c r="B411" s="19" t="s">
        <v>115</v>
      </c>
      <c r="C411" s="19" t="s">
        <v>111</v>
      </c>
      <c r="D411" s="19" t="s">
        <v>179</v>
      </c>
      <c r="E411" s="65" t="s">
        <v>503</v>
      </c>
      <c r="F411" s="19" t="str">
        <f t="shared" si="6"/>
        <v>guidance</v>
      </c>
      <c r="G411" s="19" t="s">
        <v>518</v>
      </c>
    </row>
    <row r="412" spans="1:11" ht="43.2">
      <c r="A412" s="19">
        <v>244</v>
      </c>
      <c r="B412" s="19" t="s">
        <v>115</v>
      </c>
      <c r="C412" s="19" t="s">
        <v>111</v>
      </c>
      <c r="D412" s="19" t="s">
        <v>179</v>
      </c>
      <c r="E412" s="65" t="s">
        <v>503</v>
      </c>
      <c r="F412" s="19" t="str">
        <f t="shared" si="6"/>
        <v>guidance</v>
      </c>
      <c r="G412" s="19" t="s">
        <v>514</v>
      </c>
      <c r="H412" s="19" t="s">
        <v>453</v>
      </c>
    </row>
  </sheetData>
  <autoFilter ref="A1:L412" xr:uid="{D567F0F1-A343-44E6-A006-452638951428}"/>
  <mergeCells count="1">
    <mergeCell ref="K23:K28"/>
  </mergeCells>
  <phoneticPr fontId="7"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7E5E0-B204-46EA-B969-105B25378841}">
  <dimension ref="A5:K161"/>
  <sheetViews>
    <sheetView workbookViewId="0">
      <selection activeCell="H7" sqref="H7"/>
    </sheetView>
  </sheetViews>
  <sheetFormatPr defaultRowHeight="14.4"/>
  <cols>
    <col min="3" max="3" width="12.21875" customWidth="1"/>
    <col min="5" max="5" width="22.6640625" customWidth="1"/>
    <col min="6" max="6" width="49.109375" customWidth="1"/>
    <col min="7" max="7" width="34" customWidth="1"/>
    <col min="8" max="8" width="42.44140625" customWidth="1"/>
    <col min="9" max="9" width="16.5546875" customWidth="1"/>
    <col min="11" max="11" width="23.5546875" customWidth="1"/>
    <col min="26" max="26" width="25.109375" customWidth="1"/>
  </cols>
  <sheetData>
    <row r="5" spans="1:11" ht="78" customHeight="1">
      <c r="A5" s="2">
        <v>70</v>
      </c>
      <c r="B5" s="2" t="s">
        <v>214</v>
      </c>
      <c r="C5" s="2" t="s">
        <v>38</v>
      </c>
      <c r="D5" s="2" t="s">
        <v>192</v>
      </c>
      <c r="E5" s="2" t="s">
        <v>40</v>
      </c>
      <c r="F5" s="4" t="s">
        <v>202</v>
      </c>
      <c r="G5" s="1"/>
      <c r="H5" s="1"/>
    </row>
    <row r="6" spans="1:11" ht="45.6" customHeight="1">
      <c r="A6" s="2"/>
      <c r="B6" s="2"/>
      <c r="C6" s="2"/>
      <c r="D6" s="2"/>
      <c r="E6" s="2"/>
      <c r="F6" s="5" t="s">
        <v>204</v>
      </c>
      <c r="G6" s="6"/>
      <c r="H6" s="6" t="s">
        <v>189</v>
      </c>
    </row>
    <row r="7" spans="1:11" ht="51.6" customHeight="1">
      <c r="A7" s="2"/>
      <c r="B7" s="2"/>
      <c r="C7" s="2"/>
      <c r="D7" s="2"/>
      <c r="E7" s="2"/>
      <c r="F7" s="5" t="s">
        <v>205</v>
      </c>
      <c r="G7" s="6"/>
      <c r="H7" s="6" t="s">
        <v>191</v>
      </c>
    </row>
    <row r="8" spans="1:11" ht="70.8" customHeight="1">
      <c r="A8" s="2"/>
      <c r="B8" s="2"/>
      <c r="C8" s="2"/>
      <c r="D8" s="2"/>
      <c r="E8" s="2"/>
      <c r="F8" s="5" t="s">
        <v>206</v>
      </c>
      <c r="G8" s="6"/>
      <c r="H8" s="6" t="s">
        <v>191</v>
      </c>
    </row>
    <row r="9" spans="1:11" ht="76.2" customHeight="1">
      <c r="A9" s="2"/>
      <c r="B9" s="2"/>
      <c r="C9" s="2"/>
      <c r="D9" s="2"/>
      <c r="E9" s="2"/>
      <c r="F9" s="5" t="s">
        <v>207</v>
      </c>
      <c r="G9" s="6"/>
      <c r="H9" s="6" t="s">
        <v>191</v>
      </c>
    </row>
    <row r="10" spans="1:11" ht="38.4" customHeight="1"/>
    <row r="11" spans="1:11" ht="55.2" customHeight="1">
      <c r="A11" s="2">
        <v>73</v>
      </c>
      <c r="B11" s="2" t="s">
        <v>214</v>
      </c>
      <c r="C11" s="2" t="s">
        <v>38</v>
      </c>
      <c r="D11" s="2" t="s">
        <v>192</v>
      </c>
      <c r="E11" s="2" t="s">
        <v>40</v>
      </c>
      <c r="F11" s="4" t="s">
        <v>262</v>
      </c>
      <c r="G11" s="1"/>
      <c r="H11" s="1"/>
    </row>
    <row r="12" spans="1:11">
      <c r="F12" s="13" t="s">
        <v>520</v>
      </c>
      <c r="G12" s="14" t="s">
        <v>521</v>
      </c>
      <c r="H12" s="15" t="s">
        <v>522</v>
      </c>
      <c r="I12" s="14" t="s">
        <v>523</v>
      </c>
      <c r="J12" s="14" t="s">
        <v>524</v>
      </c>
      <c r="K12" s="14" t="s">
        <v>525</v>
      </c>
    </row>
    <row r="13" spans="1:11">
      <c r="F13" s="5" t="s">
        <v>526</v>
      </c>
      <c r="G13" s="7"/>
      <c r="H13" s="6"/>
      <c r="I13" s="7"/>
      <c r="J13" s="7"/>
      <c r="K13" s="7"/>
    </row>
    <row r="14" spans="1:11">
      <c r="F14" s="5" t="s">
        <v>527</v>
      </c>
      <c r="G14" s="7"/>
      <c r="H14" s="7"/>
      <c r="I14" s="7"/>
      <c r="J14" s="7"/>
      <c r="K14" s="7"/>
    </row>
    <row r="15" spans="1:11">
      <c r="F15" s="5" t="s">
        <v>528</v>
      </c>
      <c r="G15" s="7"/>
      <c r="H15" s="7"/>
      <c r="I15" s="7"/>
      <c r="J15" s="7"/>
      <c r="K15" s="7"/>
    </row>
    <row r="16" spans="1:11" ht="39" customHeight="1"/>
    <row r="17" spans="1:9" ht="52.2" customHeight="1">
      <c r="A17" s="2">
        <v>78</v>
      </c>
      <c r="B17" s="2" t="s">
        <v>36</v>
      </c>
      <c r="C17" s="2" t="s">
        <v>38</v>
      </c>
      <c r="D17" s="2" t="s">
        <v>56</v>
      </c>
      <c r="E17" s="3" t="s">
        <v>57</v>
      </c>
      <c r="F17" s="4" t="s">
        <v>209</v>
      </c>
      <c r="G17" s="1"/>
    </row>
    <row r="18" spans="1:9" ht="92.4" customHeight="1">
      <c r="F18" s="13" t="s">
        <v>529</v>
      </c>
      <c r="G18" s="16" t="s">
        <v>530</v>
      </c>
      <c r="H18" s="17" t="s">
        <v>531</v>
      </c>
      <c r="I18" s="17" t="s">
        <v>532</v>
      </c>
    </row>
    <row r="19" spans="1:9">
      <c r="F19" s="5" t="s">
        <v>533</v>
      </c>
      <c r="G19" s="7"/>
      <c r="H19" s="7"/>
      <c r="I19" s="7"/>
    </row>
    <row r="20" spans="1:9">
      <c r="F20" s="5" t="s">
        <v>534</v>
      </c>
      <c r="G20" s="7"/>
      <c r="H20" s="7"/>
      <c r="I20" s="7"/>
    </row>
    <row r="21" spans="1:9">
      <c r="F21" s="5" t="s">
        <v>535</v>
      </c>
      <c r="G21" s="7"/>
      <c r="H21" s="7"/>
      <c r="I21" s="7"/>
    </row>
    <row r="22" spans="1:9">
      <c r="F22" s="5" t="s">
        <v>536</v>
      </c>
      <c r="G22" s="7"/>
      <c r="H22" s="7"/>
      <c r="I22" s="7"/>
    </row>
    <row r="23" spans="1:9">
      <c r="F23" s="5" t="s">
        <v>537</v>
      </c>
      <c r="G23" s="7"/>
      <c r="H23" s="7"/>
      <c r="I23" s="7"/>
    </row>
    <row r="24" spans="1:9">
      <c r="F24" s="5" t="s">
        <v>538</v>
      </c>
      <c r="G24" s="7"/>
      <c r="H24" s="7"/>
      <c r="I24" s="7"/>
    </row>
    <row r="25" spans="1:9">
      <c r="F25" s="5" t="s">
        <v>539</v>
      </c>
      <c r="G25" s="7"/>
      <c r="H25" s="7"/>
      <c r="I25" s="7"/>
    </row>
    <row r="26" spans="1:9">
      <c r="F26" s="5" t="s">
        <v>540</v>
      </c>
      <c r="G26" s="7"/>
      <c r="H26" s="7"/>
      <c r="I26" s="7"/>
    </row>
    <row r="27" spans="1:9">
      <c r="F27" s="5" t="s">
        <v>541</v>
      </c>
      <c r="G27" s="7"/>
      <c r="H27" s="7"/>
      <c r="I27" s="7"/>
    </row>
    <row r="28" spans="1:9">
      <c r="F28" s="5" t="s">
        <v>542</v>
      </c>
      <c r="G28" s="7"/>
      <c r="H28" s="7"/>
      <c r="I28" s="7"/>
    </row>
    <row r="29" spans="1:9" ht="40.799999999999997" customHeight="1"/>
    <row r="30" spans="1:9" ht="52.8">
      <c r="A30" s="2" t="s">
        <v>3</v>
      </c>
      <c r="B30" s="2" t="s">
        <v>36</v>
      </c>
      <c r="C30" s="2" t="s">
        <v>69</v>
      </c>
      <c r="D30" s="2" t="s">
        <v>71</v>
      </c>
      <c r="E30" s="3" t="s">
        <v>72</v>
      </c>
      <c r="F30" s="4" t="s">
        <v>70</v>
      </c>
    </row>
    <row r="31" spans="1:9">
      <c r="F31" s="7"/>
      <c r="G31" s="14" t="s">
        <v>543</v>
      </c>
      <c r="H31" s="14" t="s">
        <v>544</v>
      </c>
      <c r="I31" s="14" t="s">
        <v>545</v>
      </c>
    </row>
    <row r="32" spans="1:9">
      <c r="F32" s="7" t="s">
        <v>546</v>
      </c>
      <c r="G32" s="7"/>
      <c r="H32" s="7"/>
      <c r="I32" s="7"/>
    </row>
    <row r="33" spans="1:10">
      <c r="F33" s="7" t="s">
        <v>547</v>
      </c>
      <c r="G33" s="7"/>
      <c r="H33" s="7"/>
      <c r="I33" s="7"/>
    </row>
    <row r="34" spans="1:10">
      <c r="F34" s="7" t="s">
        <v>545</v>
      </c>
      <c r="G34" s="7"/>
      <c r="H34" s="7"/>
      <c r="I34" s="7"/>
    </row>
    <row r="35" spans="1:10" ht="54.6" customHeight="1"/>
    <row r="36" spans="1:10" ht="132">
      <c r="A36" s="2">
        <v>82</v>
      </c>
      <c r="B36" s="2" t="s">
        <v>36</v>
      </c>
      <c r="C36" s="2" t="s">
        <v>69</v>
      </c>
      <c r="D36" s="2" t="s">
        <v>71</v>
      </c>
      <c r="E36" s="3" t="s">
        <v>72</v>
      </c>
      <c r="F36" s="4" t="s">
        <v>215</v>
      </c>
      <c r="G36" s="1"/>
      <c r="H36" s="1"/>
    </row>
    <row r="37" spans="1:10" ht="43.2">
      <c r="F37" s="7"/>
      <c r="G37" s="17" t="s">
        <v>550</v>
      </c>
      <c r="H37" s="17" t="s">
        <v>548</v>
      </c>
      <c r="I37" s="17" t="s">
        <v>549</v>
      </c>
      <c r="J37" s="9"/>
    </row>
    <row r="38" spans="1:10">
      <c r="F38" s="7" t="s">
        <v>546</v>
      </c>
      <c r="G38" s="7">
        <v>300</v>
      </c>
      <c r="H38" s="7">
        <v>186</v>
      </c>
      <c r="I38" s="7">
        <v>486</v>
      </c>
    </row>
    <row r="39" spans="1:10">
      <c r="F39" s="7" t="s">
        <v>547</v>
      </c>
      <c r="G39" s="7">
        <v>3</v>
      </c>
      <c r="H39" s="7">
        <v>7</v>
      </c>
      <c r="I39" s="7">
        <v>10</v>
      </c>
    </row>
    <row r="40" spans="1:10">
      <c r="F40" s="7" t="s">
        <v>545</v>
      </c>
      <c r="G40" s="7">
        <v>303</v>
      </c>
      <c r="H40" s="7">
        <v>193</v>
      </c>
      <c r="I40" s="7">
        <v>496</v>
      </c>
    </row>
    <row r="41" spans="1:10" ht="37.799999999999997" customHeight="1"/>
    <row r="42" spans="1:10" ht="26.4">
      <c r="A42" s="2">
        <v>91</v>
      </c>
      <c r="B42" s="2" t="s">
        <v>36</v>
      </c>
      <c r="C42" s="2" t="s">
        <v>69</v>
      </c>
      <c r="D42" s="2" t="s">
        <v>71</v>
      </c>
      <c r="E42" s="3" t="s">
        <v>72</v>
      </c>
      <c r="F42" s="4" t="s">
        <v>223</v>
      </c>
      <c r="G42" s="1"/>
      <c r="H42" s="1"/>
    </row>
    <row r="43" spans="1:10" ht="28.8">
      <c r="F43" s="7"/>
      <c r="G43" s="17" t="s">
        <v>551</v>
      </c>
    </row>
    <row r="44" spans="1:10">
      <c r="F44" s="7" t="s">
        <v>552</v>
      </c>
      <c r="G44" s="7">
        <v>45</v>
      </c>
    </row>
    <row r="45" spans="1:10">
      <c r="F45" s="7" t="s">
        <v>553</v>
      </c>
      <c r="G45" s="7">
        <v>6</v>
      </c>
    </row>
    <row r="46" spans="1:10">
      <c r="F46" s="7" t="s">
        <v>545</v>
      </c>
      <c r="G46" s="7">
        <v>51</v>
      </c>
    </row>
    <row r="47" spans="1:10" ht="48" customHeight="1"/>
    <row r="48" spans="1:10" ht="118.8">
      <c r="A48" s="2">
        <v>100</v>
      </c>
      <c r="B48" s="2" t="s">
        <v>36</v>
      </c>
      <c r="C48" s="2" t="s">
        <v>69</v>
      </c>
      <c r="D48" s="2" t="s">
        <v>71</v>
      </c>
      <c r="E48" s="3" t="s">
        <v>72</v>
      </c>
      <c r="F48" s="4" t="s">
        <v>256</v>
      </c>
      <c r="G48" s="1"/>
      <c r="H48" s="1"/>
    </row>
    <row r="49" spans="1:8" ht="24" customHeight="1">
      <c r="F49" s="14" t="s">
        <v>554</v>
      </c>
      <c r="G49" s="14" t="s">
        <v>557</v>
      </c>
      <c r="H49" s="14" t="s">
        <v>558</v>
      </c>
    </row>
    <row r="50" spans="1:8" ht="186" customHeight="1">
      <c r="F50" s="7" t="s">
        <v>555</v>
      </c>
      <c r="G50" s="8" t="s">
        <v>559</v>
      </c>
      <c r="H50" s="8" t="s">
        <v>562</v>
      </c>
    </row>
    <row r="51" spans="1:8" ht="57.6">
      <c r="F51" s="7" t="s">
        <v>556</v>
      </c>
      <c r="G51" s="8" t="s">
        <v>560</v>
      </c>
      <c r="H51" s="8" t="s">
        <v>561</v>
      </c>
    </row>
    <row r="52" spans="1:8" ht="56.4" customHeight="1"/>
    <row r="53" spans="1:8" ht="79.2">
      <c r="A53" s="2">
        <v>102</v>
      </c>
      <c r="B53" s="2" t="s">
        <v>36</v>
      </c>
      <c r="C53" s="2" t="s">
        <v>69</v>
      </c>
      <c r="D53" s="2" t="s">
        <v>71</v>
      </c>
      <c r="E53" s="3" t="s">
        <v>72</v>
      </c>
      <c r="F53" s="4" t="s">
        <v>254</v>
      </c>
    </row>
    <row r="54" spans="1:8" ht="259.2">
      <c r="F54" s="7" t="s">
        <v>563</v>
      </c>
      <c r="G54" s="10" t="s">
        <v>565</v>
      </c>
    </row>
    <row r="55" spans="1:8">
      <c r="F55" s="7" t="s">
        <v>564</v>
      </c>
      <c r="G55" s="11" t="s">
        <v>566</v>
      </c>
    </row>
    <row r="58" spans="1:8" ht="39.6">
      <c r="A58" s="2">
        <v>115</v>
      </c>
      <c r="B58" s="2" t="s">
        <v>36</v>
      </c>
      <c r="C58" s="2" t="s">
        <v>69</v>
      </c>
      <c r="D58" s="2" t="s">
        <v>78</v>
      </c>
      <c r="E58" s="3" t="s">
        <v>80</v>
      </c>
      <c r="F58" s="4" t="s">
        <v>288</v>
      </c>
    </row>
    <row r="59" spans="1:8" ht="28.8">
      <c r="F59" s="14" t="s">
        <v>568</v>
      </c>
      <c r="G59" s="14" t="s">
        <v>567</v>
      </c>
      <c r="H59" s="17" t="s">
        <v>569</v>
      </c>
    </row>
    <row r="60" spans="1:8">
      <c r="F60" s="7" t="s">
        <v>570</v>
      </c>
      <c r="G60" s="7">
        <v>10</v>
      </c>
      <c r="H60" s="7" t="s">
        <v>87</v>
      </c>
    </row>
    <row r="61" spans="1:8">
      <c r="F61" s="7" t="s">
        <v>571</v>
      </c>
      <c r="G61" s="7"/>
      <c r="H61" s="7"/>
    </row>
    <row r="62" spans="1:8">
      <c r="F62" s="7" t="s">
        <v>572</v>
      </c>
      <c r="G62" s="7"/>
      <c r="H62" s="7"/>
    </row>
    <row r="63" spans="1:8" ht="57" customHeight="1"/>
    <row r="64" spans="1:8" ht="123" customHeight="1">
      <c r="A64" s="2">
        <v>119</v>
      </c>
      <c r="B64" s="2" t="s">
        <v>36</v>
      </c>
      <c r="C64" s="2" t="s">
        <v>69</v>
      </c>
      <c r="D64" s="2" t="s">
        <v>78</v>
      </c>
      <c r="E64" s="3" t="s">
        <v>80</v>
      </c>
      <c r="F64" s="4" t="s">
        <v>333</v>
      </c>
    </row>
    <row r="65" spans="1:8" ht="39.6" customHeight="1">
      <c r="F65" s="14" t="s">
        <v>573</v>
      </c>
      <c r="G65" s="17" t="s">
        <v>574</v>
      </c>
    </row>
    <row r="66" spans="1:8">
      <c r="F66" s="7" t="s">
        <v>575</v>
      </c>
      <c r="G66" s="7" t="s">
        <v>581</v>
      </c>
    </row>
    <row r="67" spans="1:8">
      <c r="F67" s="7" t="s">
        <v>576</v>
      </c>
      <c r="G67" s="7" t="s">
        <v>582</v>
      </c>
    </row>
    <row r="68" spans="1:8">
      <c r="F68" s="7" t="s">
        <v>577</v>
      </c>
      <c r="G68" s="7" t="s">
        <v>583</v>
      </c>
    </row>
    <row r="69" spans="1:8">
      <c r="F69" s="7" t="s">
        <v>578</v>
      </c>
      <c r="G69" s="7" t="s">
        <v>584</v>
      </c>
    </row>
    <row r="70" spans="1:8">
      <c r="F70" s="7" t="s">
        <v>579</v>
      </c>
      <c r="G70" s="7" t="s">
        <v>585</v>
      </c>
    </row>
    <row r="71" spans="1:8">
      <c r="F71" s="7" t="s">
        <v>580</v>
      </c>
      <c r="G71" s="7" t="s">
        <v>586</v>
      </c>
    </row>
    <row r="73" spans="1:8" ht="171.6">
      <c r="A73" s="2">
        <v>133</v>
      </c>
      <c r="B73" s="2" t="s">
        <v>36</v>
      </c>
      <c r="C73" s="2" t="s">
        <v>69</v>
      </c>
      <c r="D73" s="2" t="s">
        <v>78</v>
      </c>
      <c r="E73" s="3" t="s">
        <v>80</v>
      </c>
      <c r="F73" s="4" t="s">
        <v>314</v>
      </c>
    </row>
    <row r="74" spans="1:8">
      <c r="F74" s="14" t="s">
        <v>587</v>
      </c>
      <c r="G74" s="14" t="s">
        <v>588</v>
      </c>
      <c r="H74" s="14" t="s">
        <v>589</v>
      </c>
    </row>
    <row r="75" spans="1:8" ht="57.6">
      <c r="F75" s="7" t="s">
        <v>590</v>
      </c>
      <c r="G75" s="8" t="s">
        <v>594</v>
      </c>
      <c r="H75" s="8" t="s">
        <v>601</v>
      </c>
    </row>
    <row r="76" spans="1:8" ht="72">
      <c r="F76" s="7" t="s">
        <v>591</v>
      </c>
      <c r="G76" s="8" t="s">
        <v>595</v>
      </c>
      <c r="H76" s="8" t="s">
        <v>600</v>
      </c>
    </row>
    <row r="77" spans="1:8" ht="57.6">
      <c r="F77" s="7" t="s">
        <v>592</v>
      </c>
      <c r="G77" s="8" t="s">
        <v>596</v>
      </c>
      <c r="H77" s="8" t="s">
        <v>599</v>
      </c>
    </row>
    <row r="78" spans="1:8" ht="100.8">
      <c r="F78" s="7" t="s">
        <v>593</v>
      </c>
      <c r="G78" s="8" t="s">
        <v>597</v>
      </c>
      <c r="H78" s="8" t="s">
        <v>598</v>
      </c>
    </row>
    <row r="79" spans="1:8" ht="43.8" customHeight="1"/>
    <row r="80" spans="1:8" ht="26.4">
      <c r="A80" s="2">
        <v>137</v>
      </c>
      <c r="B80" s="2" t="s">
        <v>36</v>
      </c>
      <c r="C80" s="2" t="s">
        <v>69</v>
      </c>
      <c r="D80" s="2" t="s">
        <v>82</v>
      </c>
      <c r="E80" s="2" t="s">
        <v>83</v>
      </c>
      <c r="F80" s="4" t="s">
        <v>353</v>
      </c>
    </row>
    <row r="81" spans="1:9">
      <c r="F81" s="14" t="s">
        <v>602</v>
      </c>
      <c r="G81" s="17" t="s">
        <v>603</v>
      </c>
      <c r="H81" s="17" t="s">
        <v>604</v>
      </c>
      <c r="I81" s="14" t="s">
        <v>605</v>
      </c>
    </row>
    <row r="82" spans="1:9" ht="28.8">
      <c r="F82" s="8" t="s">
        <v>606</v>
      </c>
      <c r="G82" s="7"/>
      <c r="H82" s="7"/>
      <c r="I82" s="7"/>
    </row>
    <row r="83" spans="1:9" ht="28.8">
      <c r="F83" s="8" t="s">
        <v>607</v>
      </c>
      <c r="G83" s="7"/>
      <c r="H83" s="7"/>
      <c r="I83" s="7"/>
    </row>
    <row r="84" spans="1:9" ht="28.8">
      <c r="F84" s="8" t="s">
        <v>608</v>
      </c>
      <c r="G84" s="7"/>
      <c r="H84" s="7"/>
      <c r="I84" s="7"/>
    </row>
    <row r="85" spans="1:9">
      <c r="F85" s="8" t="s">
        <v>609</v>
      </c>
      <c r="G85" s="7"/>
      <c r="H85" s="7"/>
      <c r="I85" s="7"/>
    </row>
    <row r="86" spans="1:9" ht="37.200000000000003" customHeight="1"/>
    <row r="87" spans="1:9" ht="26.4">
      <c r="A87" s="2">
        <v>141</v>
      </c>
      <c r="B87" s="2" t="s">
        <v>36</v>
      </c>
      <c r="C87" s="2" t="s">
        <v>69</v>
      </c>
      <c r="D87" s="2" t="s">
        <v>82</v>
      </c>
      <c r="E87" s="2" t="s">
        <v>83</v>
      </c>
      <c r="F87" s="4" t="s">
        <v>357</v>
      </c>
    </row>
    <row r="88" spans="1:9" ht="43.2">
      <c r="F88" s="17" t="s">
        <v>610</v>
      </c>
      <c r="G88" s="17" t="s">
        <v>611</v>
      </c>
      <c r="H88" s="17" t="s">
        <v>612</v>
      </c>
      <c r="I88" s="17" t="s">
        <v>613</v>
      </c>
    </row>
    <row r="89" spans="1:9">
      <c r="F89" s="8" t="s">
        <v>614</v>
      </c>
      <c r="G89" s="7"/>
      <c r="H89" s="7"/>
      <c r="I89" s="7"/>
    </row>
    <row r="90" spans="1:9">
      <c r="F90" s="8" t="s">
        <v>615</v>
      </c>
      <c r="G90" s="7"/>
      <c r="H90" s="7"/>
      <c r="I90" s="7"/>
    </row>
    <row r="91" spans="1:9">
      <c r="F91" s="8" t="s">
        <v>616</v>
      </c>
      <c r="G91" s="7"/>
      <c r="H91" s="7"/>
      <c r="I91" s="7"/>
    </row>
    <row r="92" spans="1:9">
      <c r="F92" s="8" t="s">
        <v>617</v>
      </c>
      <c r="G92" s="7"/>
      <c r="H92" s="7"/>
      <c r="I92" s="7"/>
    </row>
    <row r="93" spans="1:9" ht="41.4" customHeight="1"/>
    <row r="94" spans="1:9" ht="52.8">
      <c r="A94" s="2">
        <v>155</v>
      </c>
      <c r="B94" s="2" t="s">
        <v>36</v>
      </c>
      <c r="C94" s="2" t="s">
        <v>69</v>
      </c>
      <c r="D94" s="2" t="s">
        <v>86</v>
      </c>
      <c r="E94" s="2" t="s">
        <v>87</v>
      </c>
      <c r="F94" s="4" t="s">
        <v>386</v>
      </c>
    </row>
    <row r="95" spans="1:9" ht="28.8">
      <c r="F95" s="14"/>
      <c r="G95" s="17" t="s">
        <v>618</v>
      </c>
      <c r="H95" s="17" t="s">
        <v>619</v>
      </c>
    </row>
    <row r="96" spans="1:9">
      <c r="F96" s="7" t="s">
        <v>620</v>
      </c>
      <c r="G96" s="7"/>
      <c r="H96" s="7"/>
    </row>
    <row r="97" spans="1:9">
      <c r="F97" s="7" t="s">
        <v>621</v>
      </c>
      <c r="G97" s="7"/>
      <c r="H97" s="7"/>
    </row>
    <row r="98" spans="1:9" ht="34.200000000000003" customHeight="1"/>
    <row r="99" spans="1:9" ht="39.6">
      <c r="A99" s="2">
        <v>167</v>
      </c>
      <c r="B99" s="2" t="s">
        <v>36</v>
      </c>
      <c r="C99" s="2" t="s">
        <v>69</v>
      </c>
      <c r="D99" s="2" t="s">
        <v>93</v>
      </c>
      <c r="E99" s="3" t="s">
        <v>90</v>
      </c>
      <c r="F99" s="4" t="s">
        <v>405</v>
      </c>
    </row>
    <row r="100" spans="1:9" ht="31.2" customHeight="1">
      <c r="A100" s="2"/>
      <c r="B100" s="2"/>
      <c r="C100" s="2"/>
      <c r="D100" s="2"/>
      <c r="E100" s="3"/>
      <c r="F100" s="13" t="s">
        <v>640</v>
      </c>
      <c r="G100" s="14" t="s">
        <v>641</v>
      </c>
      <c r="H100" s="14" t="s">
        <v>642</v>
      </c>
    </row>
    <row r="101" spans="1:9" ht="145.19999999999999" customHeight="1">
      <c r="A101" s="2"/>
      <c r="B101" s="2"/>
      <c r="C101" s="2"/>
      <c r="D101" s="2"/>
      <c r="E101" s="3"/>
      <c r="F101" s="12" t="e" vm="1">
        <v>#VALUE!</v>
      </c>
      <c r="G101" s="8" t="s">
        <v>643</v>
      </c>
      <c r="H101" s="8" t="s">
        <v>656</v>
      </c>
    </row>
    <row r="102" spans="1:9" ht="135.6" customHeight="1">
      <c r="A102" s="2"/>
      <c r="B102" s="2"/>
      <c r="C102" s="2"/>
      <c r="D102" s="2"/>
      <c r="E102" s="3"/>
      <c r="F102" s="12" t="e" vm="2">
        <v>#VALUE!</v>
      </c>
      <c r="G102" s="8" t="s">
        <v>644</v>
      </c>
      <c r="H102" s="8" t="s">
        <v>657</v>
      </c>
    </row>
    <row r="103" spans="1:9" ht="138.6" customHeight="1">
      <c r="A103" s="2"/>
      <c r="B103" s="2"/>
      <c r="C103" s="2"/>
      <c r="D103" s="2"/>
      <c r="E103" s="3"/>
      <c r="F103" s="7" t="e" vm="3">
        <v>#VALUE!</v>
      </c>
      <c r="G103" s="8" t="s">
        <v>645</v>
      </c>
      <c r="H103" s="8" t="s">
        <v>658</v>
      </c>
    </row>
    <row r="104" spans="1:9" ht="136.19999999999999" customHeight="1">
      <c r="A104" s="2"/>
      <c r="B104" s="2"/>
      <c r="C104" s="2"/>
      <c r="D104" s="2"/>
      <c r="E104" s="3"/>
      <c r="F104" s="12" t="e" vm="4">
        <v>#VALUE!</v>
      </c>
      <c r="G104" s="8" t="s">
        <v>646</v>
      </c>
      <c r="H104" s="8" t="s">
        <v>652</v>
      </c>
    </row>
    <row r="105" spans="1:9" ht="150.6" customHeight="1">
      <c r="A105" s="2"/>
      <c r="B105" s="2"/>
      <c r="C105" s="2"/>
      <c r="D105" s="2"/>
      <c r="E105" s="3"/>
      <c r="F105" s="12" t="e" vm="5">
        <v>#VALUE!</v>
      </c>
      <c r="G105" s="8" t="s">
        <v>647</v>
      </c>
      <c r="H105" s="8" t="s">
        <v>653</v>
      </c>
    </row>
    <row r="106" spans="1:9" ht="142.19999999999999" customHeight="1">
      <c r="A106" s="2"/>
      <c r="B106" s="2"/>
      <c r="C106" s="2"/>
      <c r="D106" s="2"/>
      <c r="E106" s="3"/>
      <c r="F106" s="12" t="e" vm="6">
        <v>#VALUE!</v>
      </c>
      <c r="G106" s="8" t="s">
        <v>648</v>
      </c>
      <c r="H106" s="8" t="s">
        <v>654</v>
      </c>
    </row>
    <row r="107" spans="1:9" ht="146.4" customHeight="1">
      <c r="A107" s="2"/>
      <c r="B107" s="2"/>
      <c r="C107" s="2"/>
      <c r="D107" s="2"/>
      <c r="E107" s="3"/>
      <c r="F107" s="12" t="e" vm="7">
        <v>#VALUE!</v>
      </c>
      <c r="G107" s="8" t="s">
        <v>649</v>
      </c>
      <c r="H107" s="8" t="s">
        <v>655</v>
      </c>
    </row>
    <row r="108" spans="1:9" ht="153.6" customHeight="1">
      <c r="A108" s="2"/>
      <c r="B108" s="2"/>
      <c r="C108" s="2"/>
      <c r="D108" s="2"/>
      <c r="E108" s="3"/>
      <c r="F108" s="12" t="e" vm="8">
        <v>#VALUE!</v>
      </c>
      <c r="G108" s="8" t="s">
        <v>650</v>
      </c>
      <c r="H108" s="8" t="s">
        <v>659</v>
      </c>
    </row>
    <row r="109" spans="1:9" ht="146.4" customHeight="1">
      <c r="A109" s="2"/>
      <c r="B109" s="2"/>
      <c r="C109" s="2"/>
      <c r="D109" s="2"/>
      <c r="E109" s="3"/>
      <c r="F109" s="12" t="e" vm="9">
        <v>#VALUE!</v>
      </c>
      <c r="G109" s="8" t="s">
        <v>651</v>
      </c>
      <c r="H109" s="8" t="s">
        <v>660</v>
      </c>
    </row>
    <row r="110" spans="1:9" ht="81.599999999999994" customHeight="1">
      <c r="A110" s="2"/>
      <c r="B110" s="2"/>
      <c r="C110" s="2"/>
      <c r="D110" s="2"/>
      <c r="E110" s="3"/>
      <c r="F110" s="4"/>
    </row>
    <row r="111" spans="1:9" ht="39.6">
      <c r="A111" s="2">
        <v>170</v>
      </c>
      <c r="B111" s="2" t="s">
        <v>36</v>
      </c>
      <c r="C111" s="2" t="s">
        <v>69</v>
      </c>
      <c r="D111" s="2" t="s">
        <v>93</v>
      </c>
      <c r="E111" s="3" t="s">
        <v>90</v>
      </c>
      <c r="F111" s="4" t="s">
        <v>408</v>
      </c>
    </row>
    <row r="112" spans="1:9">
      <c r="F112" s="7"/>
      <c r="G112" s="7" t="s">
        <v>622</v>
      </c>
      <c r="H112" s="7"/>
      <c r="I112" s="7"/>
    </row>
    <row r="113" spans="1:9">
      <c r="F113" s="7"/>
      <c r="G113" s="7" t="s">
        <v>623</v>
      </c>
      <c r="H113" s="7"/>
      <c r="I113" s="7"/>
    </row>
    <row r="114" spans="1:9" ht="28.8">
      <c r="F114" s="7"/>
      <c r="G114" s="7"/>
      <c r="H114" s="8" t="s">
        <v>624</v>
      </c>
      <c r="I114" s="8" t="s">
        <v>625</v>
      </c>
    </row>
    <row r="115" spans="1:9">
      <c r="F115" s="7" t="s">
        <v>626</v>
      </c>
      <c r="G115" s="7"/>
      <c r="H115" s="7"/>
      <c r="I115" s="7"/>
    </row>
    <row r="116" spans="1:9">
      <c r="F116" s="7" t="s">
        <v>627</v>
      </c>
      <c r="G116" s="7"/>
      <c r="H116" s="7"/>
      <c r="I116" s="7"/>
    </row>
    <row r="117" spans="1:9">
      <c r="F117" s="7" t="s">
        <v>628</v>
      </c>
      <c r="G117" s="7"/>
      <c r="H117" s="7"/>
      <c r="I117" s="7"/>
    </row>
    <row r="118" spans="1:9">
      <c r="F118" s="7" t="s">
        <v>609</v>
      </c>
      <c r="G118" s="7"/>
      <c r="H118" s="7"/>
      <c r="I118" s="7"/>
    </row>
    <row r="119" spans="1:9">
      <c r="F119" s="7" t="s">
        <v>629</v>
      </c>
      <c r="G119" s="7"/>
      <c r="H119" s="7"/>
      <c r="I119" s="7"/>
    </row>
    <row r="120" spans="1:9">
      <c r="F120" s="7" t="s">
        <v>627</v>
      </c>
      <c r="G120" s="7"/>
      <c r="H120" s="7"/>
      <c r="I120" s="7"/>
    </row>
    <row r="121" spans="1:9">
      <c r="F121" s="7" t="s">
        <v>609</v>
      </c>
      <c r="G121" s="7"/>
      <c r="H121" s="7"/>
      <c r="I121" s="7"/>
    </row>
    <row r="123" spans="1:9" ht="28.8">
      <c r="A123" s="2">
        <v>177</v>
      </c>
      <c r="B123" s="2" t="s">
        <v>36</v>
      </c>
      <c r="C123" s="2" t="s">
        <v>95</v>
      </c>
      <c r="D123" s="2" t="s">
        <v>96</v>
      </c>
      <c r="E123" s="3" t="s">
        <v>97</v>
      </c>
      <c r="F123" s="4" t="s">
        <v>420</v>
      </c>
    </row>
    <row r="124" spans="1:9" ht="28.8">
      <c r="F124" s="14" t="s">
        <v>634</v>
      </c>
      <c r="G124" s="17" t="s">
        <v>633</v>
      </c>
    </row>
    <row r="125" spans="1:9">
      <c r="F125" s="7" t="s">
        <v>630</v>
      </c>
      <c r="G125" s="7"/>
    </row>
    <row r="126" spans="1:9">
      <c r="F126" s="7" t="s">
        <v>631</v>
      </c>
      <c r="G126" s="7"/>
    </row>
    <row r="127" spans="1:9">
      <c r="F127" s="7" t="s">
        <v>632</v>
      </c>
      <c r="G127" s="7"/>
    </row>
    <row r="128" spans="1:9" ht="43.2" customHeight="1"/>
    <row r="129" spans="1:7" ht="28.8">
      <c r="A129" s="2">
        <v>178</v>
      </c>
      <c r="B129" s="2" t="s">
        <v>36</v>
      </c>
      <c r="C129" s="2" t="s">
        <v>95</v>
      </c>
      <c r="D129" s="2" t="s">
        <v>96</v>
      </c>
      <c r="E129" s="3" t="s">
        <v>97</v>
      </c>
      <c r="F129" s="4" t="s">
        <v>421</v>
      </c>
    </row>
    <row r="130" spans="1:7" ht="28.8">
      <c r="F130" s="17" t="s">
        <v>635</v>
      </c>
      <c r="G130" s="17" t="s">
        <v>633</v>
      </c>
    </row>
    <row r="131" spans="1:7">
      <c r="F131" s="7" t="s">
        <v>636</v>
      </c>
      <c r="G131" s="7"/>
    </row>
    <row r="132" spans="1:7">
      <c r="F132" s="7" t="s">
        <v>637</v>
      </c>
      <c r="G132" s="7"/>
    </row>
    <row r="133" spans="1:7">
      <c r="F133" s="7" t="s">
        <v>638</v>
      </c>
      <c r="G133" s="7"/>
    </row>
    <row r="134" spans="1:7">
      <c r="F134" s="7" t="s">
        <v>639</v>
      </c>
      <c r="G134" s="7"/>
    </row>
    <row r="135" spans="1:7">
      <c r="F135" s="7" t="s">
        <v>632</v>
      </c>
      <c r="G135" s="7"/>
    </row>
    <row r="136" spans="1:7" ht="44.4" customHeight="1"/>
    <row r="137" spans="1:7" ht="28.8">
      <c r="A137" s="2">
        <v>180</v>
      </c>
      <c r="B137" s="2" t="s">
        <v>36</v>
      </c>
      <c r="C137" s="2" t="s">
        <v>95</v>
      </c>
      <c r="D137" s="2" t="s">
        <v>96</v>
      </c>
      <c r="E137" s="3" t="s">
        <v>97</v>
      </c>
      <c r="F137" s="4" t="s">
        <v>423</v>
      </c>
    </row>
    <row r="138" spans="1:7" ht="28.8">
      <c r="F138" s="14" t="s">
        <v>661</v>
      </c>
      <c r="G138" s="17" t="s">
        <v>633</v>
      </c>
    </row>
    <row r="139" spans="1:7">
      <c r="F139" s="7" t="s">
        <v>662</v>
      </c>
      <c r="G139" s="7"/>
    </row>
    <row r="140" spans="1:7">
      <c r="F140" s="7" t="s">
        <v>663</v>
      </c>
      <c r="G140" s="7"/>
    </row>
    <row r="141" spans="1:7">
      <c r="F141" s="7" t="s">
        <v>664</v>
      </c>
      <c r="G141" s="7"/>
    </row>
    <row r="142" spans="1:7">
      <c r="F142" s="7" t="s">
        <v>665</v>
      </c>
      <c r="G142" s="7"/>
    </row>
    <row r="143" spans="1:7">
      <c r="F143" s="7" t="s">
        <v>632</v>
      </c>
      <c r="G143" s="7"/>
    </row>
    <row r="145" spans="1:9" ht="66">
      <c r="A145" s="2">
        <v>213</v>
      </c>
      <c r="B145" s="2" t="s">
        <v>115</v>
      </c>
      <c r="C145" s="2" t="s">
        <v>38</v>
      </c>
      <c r="D145" s="2" t="s">
        <v>128</v>
      </c>
      <c r="E145" s="3" t="s">
        <v>127</v>
      </c>
      <c r="F145" s="4" t="s">
        <v>473</v>
      </c>
    </row>
    <row r="146" spans="1:9" ht="113.4" customHeight="1">
      <c r="F146" s="7"/>
      <c r="G146" s="17" t="s">
        <v>666</v>
      </c>
      <c r="H146" s="17" t="s">
        <v>667</v>
      </c>
      <c r="I146" s="9"/>
    </row>
    <row r="147" spans="1:9">
      <c r="F147" s="7" t="s">
        <v>533</v>
      </c>
      <c r="G147" s="7"/>
      <c r="H147" s="7"/>
    </row>
    <row r="148" spans="1:9">
      <c r="F148" s="7" t="s">
        <v>534</v>
      </c>
      <c r="G148" s="7"/>
      <c r="H148" s="7"/>
    </row>
    <row r="149" spans="1:9">
      <c r="F149" s="7" t="s">
        <v>668</v>
      </c>
      <c r="G149" s="7"/>
      <c r="H149" s="7"/>
    </row>
    <row r="150" spans="1:9">
      <c r="F150" s="7" t="s">
        <v>536</v>
      </c>
      <c r="G150" s="7"/>
      <c r="H150" s="7"/>
    </row>
    <row r="151" spans="1:9">
      <c r="F151" s="7" t="s">
        <v>537</v>
      </c>
      <c r="G151" s="7"/>
      <c r="H151" s="7"/>
    </row>
    <row r="152" spans="1:9">
      <c r="F152" s="7" t="s">
        <v>538</v>
      </c>
      <c r="G152" s="7"/>
      <c r="H152" s="7"/>
    </row>
    <row r="153" spans="1:9">
      <c r="F153" s="7" t="s">
        <v>539</v>
      </c>
      <c r="G153" s="7"/>
      <c r="H153" s="7"/>
    </row>
    <row r="154" spans="1:9">
      <c r="F154" s="7" t="s">
        <v>540</v>
      </c>
      <c r="G154" s="7"/>
      <c r="H154" s="7"/>
    </row>
    <row r="155" spans="1:9">
      <c r="F155" s="7" t="s">
        <v>541</v>
      </c>
      <c r="G155" s="7"/>
      <c r="H155" s="7"/>
    </row>
    <row r="156" spans="1:9">
      <c r="F156" s="7" t="s">
        <v>542</v>
      </c>
      <c r="G156" s="7"/>
      <c r="H156" s="7"/>
    </row>
    <row r="157" spans="1:9" ht="56.4" customHeight="1"/>
    <row r="158" spans="1:9" ht="66">
      <c r="A158" s="2">
        <v>235</v>
      </c>
      <c r="B158" s="2" t="s">
        <v>115</v>
      </c>
      <c r="C158" s="2" t="s">
        <v>95</v>
      </c>
      <c r="D158" s="2" t="s">
        <v>154</v>
      </c>
      <c r="E158" s="3" t="s">
        <v>156</v>
      </c>
      <c r="F158" s="4" t="s">
        <v>497</v>
      </c>
    </row>
    <row r="159" spans="1:9" ht="43.2">
      <c r="F159" s="14" t="s">
        <v>669</v>
      </c>
      <c r="G159" s="17" t="s">
        <v>672</v>
      </c>
    </row>
    <row r="160" spans="1:9" ht="28.8">
      <c r="F160" s="8" t="s">
        <v>670</v>
      </c>
      <c r="G160" s="7"/>
    </row>
    <row r="161" spans="6:7" ht="28.8">
      <c r="F161" s="8" t="s">
        <v>671</v>
      </c>
      <c r="G161" s="7"/>
    </row>
  </sheetData>
  <phoneticPr fontId="7" type="noConversion"/>
  <dataValidations count="1">
    <dataValidation type="list" allowBlank="1" showInputMessage="1" showErrorMessage="1" sqref="S5" xr:uid="{C5C34C35-2FB7-4420-92D9-A5EF5DDA093F}">
      <formula1>"$5$Z:$8$Z"</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1E94E-72DB-48B5-9C49-CB9601C124CD}">
  <dimension ref="A1:S417"/>
  <sheetViews>
    <sheetView topLeftCell="G1" workbookViewId="0"/>
  </sheetViews>
  <sheetFormatPr defaultRowHeight="14.4"/>
  <cols>
    <col min="1" max="1" width="24.77734375" style="18" customWidth="1"/>
    <col min="2" max="4" width="8.88671875" style="18"/>
    <col min="5" max="5" width="31.33203125" style="18" customWidth="1"/>
    <col min="6" max="6" width="8.88671875" style="18"/>
    <col min="7" max="7" width="30.5546875" style="18" customWidth="1"/>
    <col min="8" max="8" width="8.88671875" style="18"/>
    <col min="9" max="9" width="28.33203125" style="18" customWidth="1"/>
    <col min="10" max="10" width="8.88671875" style="18"/>
    <col min="11" max="11" width="24.21875" style="18" customWidth="1"/>
    <col min="12" max="12" width="8.88671875" style="18"/>
    <col min="13" max="13" width="18.88671875" style="18" customWidth="1"/>
    <col min="14" max="14" width="8.88671875" style="18"/>
    <col min="15" max="15" width="17.88671875" style="18" customWidth="1"/>
    <col min="16" max="16" width="8.88671875" style="18"/>
    <col min="17" max="17" width="23.44140625" style="18" customWidth="1"/>
    <col min="18" max="18" width="8.88671875" style="18"/>
    <col min="19" max="19" width="23.77734375" style="18" bestFit="1" customWidth="1"/>
    <col min="20" max="16384" width="8.88671875" style="18"/>
  </cols>
  <sheetData>
    <row r="1" spans="1:19" ht="43.2">
      <c r="A1" s="18" t="s">
        <v>754</v>
      </c>
      <c r="C1" s="19" t="s">
        <v>758</v>
      </c>
      <c r="E1" s="33" t="s">
        <v>764</v>
      </c>
      <c r="G1" s="33" t="s">
        <v>765</v>
      </c>
      <c r="I1" s="36" t="s">
        <v>766</v>
      </c>
      <c r="K1" s="36" t="s">
        <v>767</v>
      </c>
      <c r="M1" s="50" t="s">
        <v>769</v>
      </c>
      <c r="O1" s="50" t="s">
        <v>770</v>
      </c>
      <c r="Q1" s="51" t="s">
        <v>771</v>
      </c>
      <c r="S1" s="51" t="s">
        <v>772</v>
      </c>
    </row>
    <row r="2" spans="1:19">
      <c r="A2" s="18" t="s">
        <v>755</v>
      </c>
      <c r="E2" s="19" t="s">
        <v>674</v>
      </c>
      <c r="G2" s="19" t="s">
        <v>730</v>
      </c>
      <c r="I2" s="19" t="s">
        <v>689</v>
      </c>
      <c r="K2" s="1" t="s">
        <v>674</v>
      </c>
      <c r="M2" s="1" t="s">
        <v>724</v>
      </c>
      <c r="O2" s="1" t="s">
        <v>686</v>
      </c>
      <c r="Q2" s="1" t="s">
        <v>687</v>
      </c>
      <c r="S2" s="1" t="s">
        <v>678</v>
      </c>
    </row>
    <row r="3" spans="1:19" ht="28.8">
      <c r="A3" s="18" t="s">
        <v>756</v>
      </c>
      <c r="E3" s="19" t="s">
        <v>674</v>
      </c>
      <c r="G3" s="19" t="s">
        <v>730</v>
      </c>
      <c r="I3" s="19" t="s">
        <v>690</v>
      </c>
      <c r="K3" s="1" t="s">
        <v>732</v>
      </c>
      <c r="M3" s="1" t="s">
        <v>724</v>
      </c>
      <c r="O3" s="1" t="s">
        <v>686</v>
      </c>
      <c r="Q3" s="1" t="s">
        <v>729</v>
      </c>
      <c r="S3" s="1" t="s">
        <v>678</v>
      </c>
    </row>
    <row r="4" spans="1:19">
      <c r="A4" s="18" t="s">
        <v>757</v>
      </c>
      <c r="E4" s="19" t="s">
        <v>674</v>
      </c>
      <c r="G4" s="19" t="s">
        <v>691</v>
      </c>
      <c r="I4" s="19" t="s">
        <v>690</v>
      </c>
      <c r="K4" s="1" t="s">
        <v>732</v>
      </c>
      <c r="M4" s="1" t="s">
        <v>724</v>
      </c>
      <c r="O4" s="1" t="s">
        <v>686</v>
      </c>
      <c r="Q4" s="1" t="s">
        <v>687</v>
      </c>
      <c r="S4" s="1" t="s">
        <v>678</v>
      </c>
    </row>
    <row r="5" spans="1:19">
      <c r="E5" s="19" t="s">
        <v>674</v>
      </c>
      <c r="G5" s="19" t="s">
        <v>731</v>
      </c>
      <c r="I5" s="19" t="s">
        <v>689</v>
      </c>
      <c r="K5" s="1" t="s">
        <v>699</v>
      </c>
      <c r="M5" s="1" t="s">
        <v>724</v>
      </c>
      <c r="O5" s="1" t="s">
        <v>686</v>
      </c>
      <c r="Q5" s="1" t="s">
        <v>687</v>
      </c>
      <c r="S5" s="1" t="s">
        <v>678</v>
      </c>
    </row>
    <row r="6" spans="1:19">
      <c r="E6" s="19" t="s">
        <v>674</v>
      </c>
      <c r="G6" s="19" t="s">
        <v>723</v>
      </c>
      <c r="I6" s="19" t="s">
        <v>690</v>
      </c>
      <c r="K6" s="1" t="s">
        <v>674</v>
      </c>
      <c r="M6" s="1" t="s">
        <v>724</v>
      </c>
      <c r="O6" s="1" t="s">
        <v>686</v>
      </c>
      <c r="Q6" s="49" t="s">
        <v>687</v>
      </c>
      <c r="S6" s="1" t="s">
        <v>678</v>
      </c>
    </row>
    <row r="7" spans="1:19" ht="28.8">
      <c r="E7" s="19" t="s">
        <v>677</v>
      </c>
      <c r="G7" s="19"/>
      <c r="I7" s="19"/>
      <c r="K7" s="1" t="s">
        <v>674</v>
      </c>
      <c r="M7" s="1" t="s">
        <v>724</v>
      </c>
      <c r="O7" s="1" t="s">
        <v>686</v>
      </c>
      <c r="Q7" s="1" t="s">
        <v>728</v>
      </c>
      <c r="S7" s="1" t="s">
        <v>674</v>
      </c>
    </row>
    <row r="8" spans="1:19" ht="28.8">
      <c r="E8" s="19"/>
      <c r="G8" s="19" t="s">
        <v>674</v>
      </c>
      <c r="I8" s="19" t="s">
        <v>689</v>
      </c>
      <c r="K8" s="1" t="s">
        <v>674</v>
      </c>
      <c r="M8" s="1" t="s">
        <v>724</v>
      </c>
      <c r="O8" s="1" t="s">
        <v>686</v>
      </c>
      <c r="Q8" s="1" t="s">
        <v>729</v>
      </c>
      <c r="S8" s="1" t="s">
        <v>674</v>
      </c>
    </row>
    <row r="9" spans="1:19" ht="28.8">
      <c r="E9" s="19" t="s">
        <v>677</v>
      </c>
      <c r="G9" s="19" t="s">
        <v>731</v>
      </c>
      <c r="I9" s="19" t="s">
        <v>688</v>
      </c>
      <c r="K9" s="1"/>
      <c r="M9" s="1" t="s">
        <v>686</v>
      </c>
      <c r="O9" s="1" t="s">
        <v>686</v>
      </c>
      <c r="Q9" s="1" t="s">
        <v>728</v>
      </c>
      <c r="S9" s="1" t="s">
        <v>694</v>
      </c>
    </row>
    <row r="10" spans="1:19" ht="28.8">
      <c r="E10" s="19" t="s">
        <v>674</v>
      </c>
      <c r="G10" s="19" t="s">
        <v>731</v>
      </c>
      <c r="I10" s="19" t="s">
        <v>691</v>
      </c>
      <c r="K10" s="1" t="s">
        <v>674</v>
      </c>
      <c r="M10" s="1"/>
      <c r="O10" s="1" t="s">
        <v>743</v>
      </c>
      <c r="Q10" s="1" t="s">
        <v>687</v>
      </c>
      <c r="S10" s="1" t="s">
        <v>678</v>
      </c>
    </row>
    <row r="11" spans="1:19">
      <c r="E11" s="19" t="s">
        <v>678</v>
      </c>
      <c r="G11" s="19" t="s">
        <v>731</v>
      </c>
      <c r="I11" s="19" t="s">
        <v>688</v>
      </c>
      <c r="K11" s="1" t="s">
        <v>674</v>
      </c>
      <c r="M11" s="1" t="s">
        <v>724</v>
      </c>
      <c r="O11" s="1"/>
      <c r="Q11" s="1" t="s">
        <v>728</v>
      </c>
      <c r="S11" s="1" t="s">
        <v>678</v>
      </c>
    </row>
    <row r="12" spans="1:19">
      <c r="E12" s="19" t="s">
        <v>678</v>
      </c>
      <c r="G12" s="19" t="s">
        <v>723</v>
      </c>
      <c r="I12" s="19" t="s">
        <v>689</v>
      </c>
      <c r="K12" t="s">
        <v>699</v>
      </c>
      <c r="M12" s="1"/>
      <c r="O12" s="1" t="s">
        <v>686</v>
      </c>
      <c r="S12" s="1" t="s">
        <v>678</v>
      </c>
    </row>
    <row r="13" spans="1:19" ht="28.8">
      <c r="E13" s="19" t="s">
        <v>675</v>
      </c>
      <c r="G13" s="19" t="s">
        <v>729</v>
      </c>
      <c r="I13" s="19" t="s">
        <v>692</v>
      </c>
      <c r="K13" s="1" t="s">
        <v>674</v>
      </c>
      <c r="M13" s="1" t="s">
        <v>686</v>
      </c>
      <c r="O13" s="1" t="s">
        <v>744</v>
      </c>
      <c r="S13" s="1" t="s">
        <v>678</v>
      </c>
    </row>
    <row r="14" spans="1:19">
      <c r="E14" s="19" t="s">
        <v>674</v>
      </c>
      <c r="G14" s="19" t="s">
        <v>691</v>
      </c>
      <c r="I14" s="19" t="s">
        <v>692</v>
      </c>
      <c r="K14" s="1" t="s">
        <v>674</v>
      </c>
      <c r="M14" s="1" t="s">
        <v>724</v>
      </c>
      <c r="O14" s="1" t="s">
        <v>744</v>
      </c>
      <c r="S14" s="1" t="s">
        <v>678</v>
      </c>
    </row>
    <row r="15" spans="1:19">
      <c r="E15" s="19" t="s">
        <v>674</v>
      </c>
      <c r="G15" s="19"/>
      <c r="I15" s="19" t="s">
        <v>692</v>
      </c>
      <c r="K15" s="1" t="s">
        <v>674</v>
      </c>
      <c r="M15" s="1" t="s">
        <v>686</v>
      </c>
      <c r="O15" s="1" t="s">
        <v>744</v>
      </c>
      <c r="S15" s="1"/>
    </row>
    <row r="16" spans="1:19" ht="28.8">
      <c r="E16" s="19" t="s">
        <v>679</v>
      </c>
      <c r="G16" s="19" t="s">
        <v>729</v>
      </c>
      <c r="I16" s="19" t="s">
        <v>692</v>
      </c>
      <c r="K16" s="1" t="s">
        <v>674</v>
      </c>
      <c r="M16" s="1"/>
      <c r="O16" s="1" t="s">
        <v>744</v>
      </c>
      <c r="S16" s="1" t="s">
        <v>749</v>
      </c>
    </row>
    <row r="17" spans="5:19" ht="28.8">
      <c r="E17" s="19" t="s">
        <v>677</v>
      </c>
      <c r="G17" s="19" t="s">
        <v>674</v>
      </c>
      <c r="I17" s="19" t="s">
        <v>692</v>
      </c>
      <c r="K17" s="1" t="s">
        <v>674</v>
      </c>
      <c r="M17" s="1"/>
      <c r="O17" s="1" t="s">
        <v>744</v>
      </c>
      <c r="S17" s="1" t="s">
        <v>749</v>
      </c>
    </row>
    <row r="18" spans="5:19" ht="28.8">
      <c r="E18" s="19" t="s">
        <v>677</v>
      </c>
      <c r="I18" s="19" t="s">
        <v>694</v>
      </c>
      <c r="K18" s="1" t="s">
        <v>674</v>
      </c>
      <c r="M18" s="1" t="s">
        <v>699</v>
      </c>
      <c r="O18" s="1" t="s">
        <v>744</v>
      </c>
      <c r="S18" s="1" t="s">
        <v>749</v>
      </c>
    </row>
    <row r="19" spans="5:19" ht="28.8">
      <c r="E19" s="19" t="s">
        <v>677</v>
      </c>
      <c r="I19" s="19" t="s">
        <v>694</v>
      </c>
      <c r="K19" s="1" t="s">
        <v>674</v>
      </c>
      <c r="M19" s="1" t="s">
        <v>699</v>
      </c>
      <c r="O19" s="1" t="s">
        <v>746</v>
      </c>
      <c r="S19" s="1" t="s">
        <v>749</v>
      </c>
    </row>
    <row r="20" spans="5:19" ht="28.8">
      <c r="E20" s="19" t="s">
        <v>677</v>
      </c>
      <c r="I20" s="19" t="s">
        <v>694</v>
      </c>
      <c r="K20" s="1" t="s">
        <v>732</v>
      </c>
      <c r="M20" s="1" t="s">
        <v>699</v>
      </c>
      <c r="O20" s="1" t="s">
        <v>686</v>
      </c>
      <c r="S20" s="49" t="s">
        <v>749</v>
      </c>
    </row>
    <row r="21" spans="5:19" ht="28.8">
      <c r="E21" s="19" t="s">
        <v>677</v>
      </c>
      <c r="I21" s="19" t="s">
        <v>694</v>
      </c>
      <c r="K21" s="1" t="s">
        <v>732</v>
      </c>
      <c r="M21" s="1" t="s">
        <v>724</v>
      </c>
      <c r="O21" s="1" t="s">
        <v>686</v>
      </c>
      <c r="S21" t="s">
        <v>674</v>
      </c>
    </row>
    <row r="22" spans="5:19" ht="28.8">
      <c r="E22" s="19" t="s">
        <v>677</v>
      </c>
      <c r="I22" s="19" t="s">
        <v>677</v>
      </c>
      <c r="K22" s="1" t="s">
        <v>699</v>
      </c>
      <c r="M22" s="1" t="s">
        <v>724</v>
      </c>
      <c r="O22" s="1" t="s">
        <v>745</v>
      </c>
      <c r="S22" t="s">
        <v>674</v>
      </c>
    </row>
    <row r="23" spans="5:19">
      <c r="E23" s="19" t="s">
        <v>674</v>
      </c>
      <c r="I23" s="19" t="s">
        <v>699</v>
      </c>
      <c r="K23" s="1" t="s">
        <v>674</v>
      </c>
      <c r="M23" s="1" t="s">
        <v>699</v>
      </c>
      <c r="O23" s="1"/>
      <c r="S23" t="s">
        <v>674</v>
      </c>
    </row>
    <row r="24" spans="5:19" ht="28.8">
      <c r="E24" s="19" t="s">
        <v>674</v>
      </c>
      <c r="I24" s="19" t="s">
        <v>674</v>
      </c>
      <c r="K24" s="1" t="s">
        <v>674</v>
      </c>
      <c r="M24" s="1"/>
      <c r="O24" s="1" t="s">
        <v>748</v>
      </c>
      <c r="S24" t="s">
        <v>674</v>
      </c>
    </row>
    <row r="25" spans="5:19" ht="28.8">
      <c r="E25" s="19" t="s">
        <v>675</v>
      </c>
      <c r="I25" s="19" t="s">
        <v>674</v>
      </c>
      <c r="K25" s="1" t="s">
        <v>674</v>
      </c>
      <c r="M25" s="1"/>
      <c r="O25" s="1" t="s">
        <v>748</v>
      </c>
      <c r="S25" t="s">
        <v>674</v>
      </c>
    </row>
    <row r="26" spans="5:19" ht="28.8">
      <c r="E26" s="19" t="s">
        <v>675</v>
      </c>
      <c r="I26" s="19" t="s">
        <v>674</v>
      </c>
      <c r="K26" s="1" t="s">
        <v>674</v>
      </c>
      <c r="M26" s="1" t="s">
        <v>683</v>
      </c>
      <c r="O26" s="1" t="s">
        <v>748</v>
      </c>
      <c r="S26" t="s">
        <v>674</v>
      </c>
    </row>
    <row r="27" spans="5:19" ht="28.8">
      <c r="E27" s="19"/>
      <c r="I27" s="19" t="s">
        <v>674</v>
      </c>
      <c r="K27" s="1" t="s">
        <v>674</v>
      </c>
      <c r="M27" s="1" t="s">
        <v>683</v>
      </c>
      <c r="O27" s="1" t="s">
        <v>748</v>
      </c>
      <c r="S27" t="s">
        <v>674</v>
      </c>
    </row>
    <row r="28" spans="5:19" ht="28.8">
      <c r="E28" s="19" t="s">
        <v>675</v>
      </c>
      <c r="I28" s="19" t="s">
        <v>674</v>
      </c>
      <c r="K28" s="1" t="s">
        <v>679</v>
      </c>
      <c r="M28" s="1" t="s">
        <v>683</v>
      </c>
      <c r="O28" s="1" t="s">
        <v>748</v>
      </c>
      <c r="S28" t="s">
        <v>674</v>
      </c>
    </row>
    <row r="29" spans="5:19" ht="28.8">
      <c r="E29" s="19" t="s">
        <v>675</v>
      </c>
      <c r="I29" s="19" t="s">
        <v>674</v>
      </c>
      <c r="K29" s="1" t="s">
        <v>732</v>
      </c>
      <c r="M29" s="1" t="s">
        <v>688</v>
      </c>
      <c r="O29" s="1" t="s">
        <v>748</v>
      </c>
      <c r="S29" s="1" t="s">
        <v>678</v>
      </c>
    </row>
    <row r="30" spans="5:19" ht="28.8">
      <c r="E30" s="19" t="s">
        <v>674</v>
      </c>
      <c r="I30" s="19" t="s">
        <v>674</v>
      </c>
      <c r="K30" s="1"/>
      <c r="M30" s="1" t="s">
        <v>699</v>
      </c>
      <c r="O30" s="1" t="s">
        <v>748</v>
      </c>
      <c r="S30" s="1" t="s">
        <v>678</v>
      </c>
    </row>
    <row r="31" spans="5:19" ht="28.8">
      <c r="E31" s="19" t="s">
        <v>677</v>
      </c>
      <c r="I31" s="19" t="s">
        <v>674</v>
      </c>
      <c r="K31" s="1" t="s">
        <v>674</v>
      </c>
      <c r="M31" s="1"/>
      <c r="O31" s="1" t="s">
        <v>748</v>
      </c>
      <c r="S31" s="1" t="s">
        <v>678</v>
      </c>
    </row>
    <row r="32" spans="5:19" ht="28.8">
      <c r="E32" s="19" t="s">
        <v>677</v>
      </c>
      <c r="I32" s="19" t="s">
        <v>674</v>
      </c>
      <c r="K32" s="1" t="s">
        <v>674</v>
      </c>
      <c r="M32" s="1"/>
      <c r="O32" s="49" t="s">
        <v>748</v>
      </c>
      <c r="S32" s="1" t="s">
        <v>678</v>
      </c>
    </row>
    <row r="33" spans="5:19" ht="28.8">
      <c r="E33" s="19" t="s">
        <v>681</v>
      </c>
      <c r="I33" s="19" t="s">
        <v>674</v>
      </c>
      <c r="K33" s="1" t="s">
        <v>735</v>
      </c>
      <c r="M33" s="1" t="s">
        <v>726</v>
      </c>
      <c r="O33" s="1" t="s">
        <v>724</v>
      </c>
      <c r="S33" s="1" t="s">
        <v>678</v>
      </c>
    </row>
    <row r="34" spans="5:19" ht="28.8">
      <c r="E34" s="19"/>
      <c r="I34" s="19" t="s">
        <v>674</v>
      </c>
      <c r="K34" s="1" t="s">
        <v>734</v>
      </c>
      <c r="M34" s="1" t="s">
        <v>724</v>
      </c>
      <c r="O34" s="1" t="s">
        <v>691</v>
      </c>
      <c r="S34" s="1"/>
    </row>
    <row r="35" spans="5:19">
      <c r="E35" s="19" t="s">
        <v>674</v>
      </c>
      <c r="I35" s="19" t="s">
        <v>674</v>
      </c>
      <c r="K35" s="1" t="s">
        <v>736</v>
      </c>
      <c r="M35" s="1" t="s">
        <v>686</v>
      </c>
      <c r="O35" s="1"/>
      <c r="S35" s="1" t="s">
        <v>724</v>
      </c>
    </row>
    <row r="36" spans="5:19">
      <c r="E36" s="19" t="s">
        <v>682</v>
      </c>
      <c r="I36" s="19" t="s">
        <v>674</v>
      </c>
      <c r="K36" t="s">
        <v>674</v>
      </c>
      <c r="M36" s="1" t="s">
        <v>724</v>
      </c>
      <c r="O36" s="1" t="s">
        <v>724</v>
      </c>
      <c r="S36" s="1" t="s">
        <v>724</v>
      </c>
    </row>
    <row r="37" spans="5:19" ht="28.8">
      <c r="E37" s="19" t="s">
        <v>683</v>
      </c>
      <c r="I37" s="19" t="s">
        <v>674</v>
      </c>
      <c r="K37" s="1" t="s">
        <v>733</v>
      </c>
      <c r="M37" s="1" t="s">
        <v>726</v>
      </c>
      <c r="O37" s="1" t="s">
        <v>686</v>
      </c>
      <c r="S37" s="1" t="s">
        <v>724</v>
      </c>
    </row>
    <row r="38" spans="5:19" ht="28.8">
      <c r="E38" s="19" t="s">
        <v>684</v>
      </c>
      <c r="I38" s="19" t="s">
        <v>674</v>
      </c>
      <c r="K38" s="1" t="s">
        <v>734</v>
      </c>
      <c r="M38" s="1" t="s">
        <v>726</v>
      </c>
      <c r="O38" s="1" t="s">
        <v>686</v>
      </c>
      <c r="S38" s="1" t="s">
        <v>724</v>
      </c>
    </row>
    <row r="39" spans="5:19">
      <c r="E39" s="19" t="s">
        <v>685</v>
      </c>
      <c r="I39" s="19" t="s">
        <v>674</v>
      </c>
      <c r="K39" s="1" t="s">
        <v>737</v>
      </c>
      <c r="M39" s="1" t="s">
        <v>724</v>
      </c>
      <c r="O39" s="1" t="s">
        <v>686</v>
      </c>
      <c r="S39" s="1" t="s">
        <v>724</v>
      </c>
    </row>
    <row r="40" spans="5:19" ht="28.8">
      <c r="E40" s="19" t="s">
        <v>674</v>
      </c>
      <c r="I40" s="19" t="s">
        <v>674</v>
      </c>
      <c r="K40" s="49" t="s">
        <v>738</v>
      </c>
      <c r="M40" s="1" t="s">
        <v>724</v>
      </c>
      <c r="O40" s="1" t="s">
        <v>723</v>
      </c>
    </row>
    <row r="41" spans="5:19" ht="28.8">
      <c r="E41" s="19"/>
      <c r="I41" s="19" t="s">
        <v>674</v>
      </c>
      <c r="K41" s="1" t="s">
        <v>699</v>
      </c>
      <c r="M41" s="1"/>
      <c r="O41" s="1" t="s">
        <v>743</v>
      </c>
    </row>
    <row r="42" spans="5:19">
      <c r="E42" s="19"/>
      <c r="I42" s="19" t="s">
        <v>674</v>
      </c>
      <c r="K42" s="1" t="s">
        <v>674</v>
      </c>
      <c r="M42" s="1" t="s">
        <v>726</v>
      </c>
      <c r="O42" s="1"/>
    </row>
    <row r="43" spans="5:19">
      <c r="E43" s="19"/>
      <c r="I43" s="19" t="s">
        <v>674</v>
      </c>
      <c r="K43" s="1" t="s">
        <v>674</v>
      </c>
      <c r="M43" s="1" t="s">
        <v>726</v>
      </c>
      <c r="O43" s="1" t="s">
        <v>687</v>
      </c>
    </row>
    <row r="44" spans="5:19">
      <c r="E44" s="18" t="s">
        <v>686</v>
      </c>
      <c r="I44" s="19" t="s">
        <v>674</v>
      </c>
      <c r="K44" s="1" t="s">
        <v>674</v>
      </c>
      <c r="M44" s="1" t="s">
        <v>726</v>
      </c>
      <c r="O44" s="1" t="s">
        <v>686</v>
      </c>
    </row>
    <row r="45" spans="5:19">
      <c r="E45" s="19" t="s">
        <v>678</v>
      </c>
      <c r="I45" s="19" t="s">
        <v>674</v>
      </c>
      <c r="K45" s="1" t="s">
        <v>674</v>
      </c>
      <c r="M45" s="1" t="s">
        <v>726</v>
      </c>
      <c r="O45" s="1" t="s">
        <v>686</v>
      </c>
    </row>
    <row r="46" spans="5:19">
      <c r="E46" s="19" t="s">
        <v>687</v>
      </c>
      <c r="I46" s="19" t="s">
        <v>674</v>
      </c>
      <c r="K46" s="1" t="s">
        <v>732</v>
      </c>
      <c r="M46" s="1" t="s">
        <v>726</v>
      </c>
      <c r="O46" s="1" t="s">
        <v>744</v>
      </c>
    </row>
    <row r="47" spans="5:19" ht="29.4" thickBot="1">
      <c r="E47" s="38" t="s">
        <v>688</v>
      </c>
      <c r="I47" s="19" t="s">
        <v>703</v>
      </c>
      <c r="K47" s="1" t="s">
        <v>674</v>
      </c>
      <c r="M47" s="1" t="s">
        <v>726</v>
      </c>
      <c r="O47" s="1" t="s">
        <v>744</v>
      </c>
    </row>
    <row r="48" spans="5:19" ht="28.8">
      <c r="E48" s="19" t="s">
        <v>674</v>
      </c>
      <c r="I48" s="19" t="s">
        <v>705</v>
      </c>
      <c r="K48" s="1"/>
      <c r="M48" s="1" t="s">
        <v>724</v>
      </c>
      <c r="O48" s="1" t="s">
        <v>744</v>
      </c>
    </row>
    <row r="49" spans="5:15">
      <c r="E49" s="19" t="s">
        <v>674</v>
      </c>
      <c r="I49" s="19" t="s">
        <v>674</v>
      </c>
      <c r="K49" s="1" t="s">
        <v>699</v>
      </c>
      <c r="M49" s="1" t="s">
        <v>724</v>
      </c>
      <c r="O49" s="1" t="s">
        <v>744</v>
      </c>
    </row>
    <row r="50" spans="5:15" ht="28.8">
      <c r="E50" s="19" t="s">
        <v>674</v>
      </c>
      <c r="I50" s="19" t="s">
        <v>674</v>
      </c>
      <c r="K50" s="1" t="s">
        <v>674</v>
      </c>
      <c r="M50" s="1" t="s">
        <v>724</v>
      </c>
      <c r="O50" s="1" t="s">
        <v>747</v>
      </c>
    </row>
    <row r="51" spans="5:15" ht="28.8">
      <c r="E51" s="19" t="s">
        <v>674</v>
      </c>
      <c r="I51" s="19" t="s">
        <v>705</v>
      </c>
      <c r="K51" s="1" t="s">
        <v>674</v>
      </c>
      <c r="M51" s="1" t="s">
        <v>724</v>
      </c>
      <c r="O51" s="1" t="s">
        <v>744</v>
      </c>
    </row>
    <row r="52" spans="5:15">
      <c r="E52" s="19" t="s">
        <v>674</v>
      </c>
      <c r="I52" s="19" t="s">
        <v>674</v>
      </c>
      <c r="K52" s="1" t="s">
        <v>674</v>
      </c>
      <c r="M52" s="1"/>
      <c r="O52" s="1" t="s">
        <v>686</v>
      </c>
    </row>
    <row r="53" spans="5:15" ht="28.8">
      <c r="E53" s="19" t="s">
        <v>677</v>
      </c>
      <c r="I53" s="19" t="s">
        <v>674</v>
      </c>
      <c r="K53" s="1" t="s">
        <v>699</v>
      </c>
      <c r="M53" s="1" t="s">
        <v>686</v>
      </c>
      <c r="O53" s="1" t="s">
        <v>745</v>
      </c>
    </row>
    <row r="54" spans="5:15" ht="28.8">
      <c r="E54" s="19"/>
      <c r="I54" s="19" t="s">
        <v>674</v>
      </c>
      <c r="K54" s="1" t="s">
        <v>729</v>
      </c>
      <c r="M54" s="1" t="s">
        <v>686</v>
      </c>
      <c r="O54" s="1"/>
    </row>
    <row r="55" spans="5:15" ht="28.8">
      <c r="E55" s="19" t="s">
        <v>677</v>
      </c>
      <c r="I55" s="19"/>
      <c r="K55" s="1" t="s">
        <v>674</v>
      </c>
      <c r="M55" s="1"/>
      <c r="O55" s="1" t="s">
        <v>748</v>
      </c>
    </row>
    <row r="56" spans="5:15" ht="28.8">
      <c r="E56" s="19" t="s">
        <v>674</v>
      </c>
      <c r="I56" s="19" t="s">
        <v>694</v>
      </c>
      <c r="K56" s="1" t="s">
        <v>729</v>
      </c>
      <c r="M56" s="1" t="s">
        <v>686</v>
      </c>
      <c r="O56" s="1" t="s">
        <v>748</v>
      </c>
    </row>
    <row r="57" spans="5:15" ht="28.8">
      <c r="E57" s="19" t="s">
        <v>678</v>
      </c>
      <c r="I57" s="19" t="s">
        <v>674</v>
      </c>
      <c r="K57" s="1" t="s">
        <v>674</v>
      </c>
      <c r="M57" s="49" t="s">
        <v>686</v>
      </c>
      <c r="O57" s="1" t="s">
        <v>748</v>
      </c>
    </row>
    <row r="58" spans="5:15" ht="28.8">
      <c r="E58" s="19" t="s">
        <v>678</v>
      </c>
      <c r="I58" s="19"/>
      <c r="K58" s="1" t="s">
        <v>674</v>
      </c>
      <c r="M58" s="1" t="s">
        <v>724</v>
      </c>
      <c r="O58" s="1" t="s">
        <v>748</v>
      </c>
    </row>
    <row r="59" spans="5:15" ht="28.8">
      <c r="E59" s="19" t="s">
        <v>675</v>
      </c>
      <c r="I59" s="19" t="s">
        <v>674</v>
      </c>
      <c r="K59" s="1" t="s">
        <v>674</v>
      </c>
      <c r="M59" s="1" t="s">
        <v>724</v>
      </c>
      <c r="O59" s="1" t="s">
        <v>748</v>
      </c>
    </row>
    <row r="60" spans="5:15" ht="28.8">
      <c r="E60" s="19" t="s">
        <v>674</v>
      </c>
      <c r="I60" s="19"/>
      <c r="K60" s="1" t="s">
        <v>674</v>
      </c>
      <c r="M60" s="1" t="s">
        <v>724</v>
      </c>
      <c r="O60" s="1" t="s">
        <v>748</v>
      </c>
    </row>
    <row r="61" spans="5:15" ht="28.8">
      <c r="E61" s="19" t="s">
        <v>674</v>
      </c>
      <c r="I61" s="19"/>
      <c r="K61" s="1" t="s">
        <v>674</v>
      </c>
      <c r="M61" s="1" t="s">
        <v>724</v>
      </c>
      <c r="O61" s="1" t="s">
        <v>748</v>
      </c>
    </row>
    <row r="62" spans="5:15" ht="28.8">
      <c r="E62" s="19" t="s">
        <v>679</v>
      </c>
      <c r="I62" s="19" t="s">
        <v>674</v>
      </c>
      <c r="K62" s="1" t="s">
        <v>674</v>
      </c>
      <c r="M62" s="1" t="s">
        <v>686</v>
      </c>
      <c r="O62" s="1" t="s">
        <v>748</v>
      </c>
    </row>
    <row r="63" spans="5:15" ht="28.8">
      <c r="E63" s="19" t="s">
        <v>677</v>
      </c>
      <c r="I63" s="19" t="s">
        <v>710</v>
      </c>
      <c r="K63" s="1" t="s">
        <v>674</v>
      </c>
      <c r="M63" s="1" t="s">
        <v>686</v>
      </c>
      <c r="O63" s="1" t="s">
        <v>748</v>
      </c>
    </row>
    <row r="64" spans="5:15" ht="28.8">
      <c r="E64" s="19" t="s">
        <v>677</v>
      </c>
      <c r="I64" s="19"/>
      <c r="K64" s="1" t="s">
        <v>729</v>
      </c>
      <c r="M64" s="1" t="s">
        <v>724</v>
      </c>
    </row>
    <row r="65" spans="5:13" ht="28.8">
      <c r="E65" s="19" t="s">
        <v>677</v>
      </c>
      <c r="I65" s="19" t="s">
        <v>752</v>
      </c>
      <c r="K65" s="1" t="s">
        <v>674</v>
      </c>
      <c r="M65" s="1" t="s">
        <v>686</v>
      </c>
    </row>
    <row r="66" spans="5:13" ht="28.8">
      <c r="E66" s="19" t="s">
        <v>677</v>
      </c>
      <c r="I66" s="19"/>
      <c r="K66" s="1" t="s">
        <v>674</v>
      </c>
      <c r="M66" s="1"/>
    </row>
    <row r="67" spans="5:13" ht="28.8">
      <c r="E67" s="19" t="s">
        <v>677</v>
      </c>
      <c r="I67" s="19" t="s">
        <v>674</v>
      </c>
      <c r="K67" s="1" t="s">
        <v>674</v>
      </c>
      <c r="M67" s="1" t="s">
        <v>724</v>
      </c>
    </row>
    <row r="68" spans="5:13" ht="28.8">
      <c r="E68" s="19" t="s">
        <v>677</v>
      </c>
      <c r="I68" s="19" t="s">
        <v>674</v>
      </c>
      <c r="K68" s="1" t="s">
        <v>732</v>
      </c>
      <c r="M68" s="1"/>
    </row>
    <row r="69" spans="5:13">
      <c r="E69" s="19" t="s">
        <v>674</v>
      </c>
      <c r="I69" s="19" t="s">
        <v>753</v>
      </c>
      <c r="K69" s="1"/>
      <c r="M69" s="1" t="s">
        <v>686</v>
      </c>
    </row>
    <row r="70" spans="5:13" ht="28.8">
      <c r="E70" s="19" t="s">
        <v>674</v>
      </c>
      <c r="I70" s="19" t="s">
        <v>679</v>
      </c>
      <c r="K70" s="1" t="s">
        <v>739</v>
      </c>
      <c r="M70" s="1" t="s">
        <v>724</v>
      </c>
    </row>
    <row r="71" spans="5:13">
      <c r="E71" s="19" t="s">
        <v>675</v>
      </c>
      <c r="I71" s="19" t="s">
        <v>689</v>
      </c>
      <c r="K71" t="s">
        <v>739</v>
      </c>
      <c r="M71" s="1" t="s">
        <v>686</v>
      </c>
    </row>
    <row r="72" spans="5:13" ht="28.8">
      <c r="E72" s="19" t="s">
        <v>675</v>
      </c>
      <c r="I72" s="19" t="s">
        <v>699</v>
      </c>
      <c r="K72" s="1" t="s">
        <v>735</v>
      </c>
      <c r="M72" s="1"/>
    </row>
    <row r="73" spans="5:13" ht="28.8">
      <c r="E73" s="19"/>
      <c r="I73" s="19"/>
      <c r="K73" s="1" t="s">
        <v>734</v>
      </c>
      <c r="M73" s="1"/>
    </row>
    <row r="74" spans="5:13">
      <c r="E74" s="19" t="s">
        <v>675</v>
      </c>
      <c r="I74" s="19" t="s">
        <v>699</v>
      </c>
      <c r="K74" s="1" t="s">
        <v>740</v>
      </c>
      <c r="M74" s="1" t="s">
        <v>699</v>
      </c>
    </row>
    <row r="75" spans="5:13" ht="28.8">
      <c r="E75" s="19" t="s">
        <v>675</v>
      </c>
      <c r="I75" s="19" t="s">
        <v>699</v>
      </c>
      <c r="K75" s="1" t="s">
        <v>729</v>
      </c>
      <c r="M75" s="1" t="s">
        <v>699</v>
      </c>
    </row>
    <row r="76" spans="5:13" ht="28.8">
      <c r="E76" s="19" t="s">
        <v>674</v>
      </c>
      <c r="I76" s="19" t="s">
        <v>699</v>
      </c>
      <c r="K76" s="1" t="s">
        <v>741</v>
      </c>
      <c r="M76" s="1" t="s">
        <v>699</v>
      </c>
    </row>
    <row r="77" spans="5:13" ht="28.8">
      <c r="E77" s="19" t="s">
        <v>677</v>
      </c>
      <c r="I77" s="19" t="s">
        <v>699</v>
      </c>
      <c r="K77" s="1" t="s">
        <v>742</v>
      </c>
      <c r="M77" s="1" t="s">
        <v>688</v>
      </c>
    </row>
    <row r="78" spans="5:13" ht="28.8">
      <c r="E78" s="19" t="s">
        <v>677</v>
      </c>
      <c r="I78" s="19" t="s">
        <v>699</v>
      </c>
      <c r="M78" s="1" t="s">
        <v>724</v>
      </c>
    </row>
    <row r="79" spans="5:13">
      <c r="E79" s="19" t="s">
        <v>681</v>
      </c>
      <c r="I79" s="19" t="s">
        <v>699</v>
      </c>
      <c r="M79" s="1" t="s">
        <v>699</v>
      </c>
    </row>
    <row r="80" spans="5:13">
      <c r="E80" s="19"/>
      <c r="I80" s="19" t="s">
        <v>699</v>
      </c>
      <c r="M80" s="1"/>
    </row>
    <row r="81" spans="5:13">
      <c r="E81" s="19" t="s">
        <v>674</v>
      </c>
      <c r="I81" s="19" t="s">
        <v>699</v>
      </c>
      <c r="M81" s="1"/>
    </row>
    <row r="82" spans="5:13">
      <c r="E82" s="19" t="s">
        <v>682</v>
      </c>
      <c r="I82" s="19" t="s">
        <v>699</v>
      </c>
      <c r="M82" s="1" t="s">
        <v>683</v>
      </c>
    </row>
    <row r="83" spans="5:13">
      <c r="E83" s="19" t="s">
        <v>683</v>
      </c>
      <c r="I83" s="19" t="s">
        <v>699</v>
      </c>
      <c r="M83" s="1" t="s">
        <v>686</v>
      </c>
    </row>
    <row r="84" spans="5:13">
      <c r="E84" s="19" t="s">
        <v>684</v>
      </c>
      <c r="I84" s="19" t="s">
        <v>699</v>
      </c>
      <c r="M84" s="1" t="s">
        <v>686</v>
      </c>
    </row>
    <row r="85" spans="5:13">
      <c r="E85" s="19" t="s">
        <v>685</v>
      </c>
      <c r="I85" s="19" t="s">
        <v>699</v>
      </c>
      <c r="M85" s="1" t="s">
        <v>683</v>
      </c>
    </row>
    <row r="86" spans="5:13">
      <c r="E86" s="19" t="s">
        <v>674</v>
      </c>
      <c r="I86" s="19" t="s">
        <v>694</v>
      </c>
      <c r="M86" s="1" t="s">
        <v>699</v>
      </c>
    </row>
    <row r="87" spans="5:13">
      <c r="E87" s="19"/>
      <c r="I87" s="19" t="s">
        <v>694</v>
      </c>
      <c r="M87" s="1"/>
    </row>
    <row r="88" spans="5:13">
      <c r="E88" s="19"/>
      <c r="I88" s="19" t="s">
        <v>694</v>
      </c>
      <c r="M88" s="1"/>
    </row>
    <row r="89" spans="5:13">
      <c r="E89" s="19"/>
      <c r="I89" s="19" t="s">
        <v>694</v>
      </c>
      <c r="M89" s="1" t="s">
        <v>686</v>
      </c>
    </row>
    <row r="90" spans="5:13">
      <c r="E90" s="18" t="s">
        <v>686</v>
      </c>
      <c r="I90" s="19" t="s">
        <v>694</v>
      </c>
      <c r="M90" s="1" t="s">
        <v>686</v>
      </c>
    </row>
    <row r="91" spans="5:13">
      <c r="E91" s="19" t="s">
        <v>678</v>
      </c>
      <c r="I91" s="19" t="s">
        <v>694</v>
      </c>
      <c r="M91" s="1" t="s">
        <v>727</v>
      </c>
    </row>
    <row r="92" spans="5:13">
      <c r="E92" s="19" t="s">
        <v>687</v>
      </c>
      <c r="I92" s="19" t="s">
        <v>694</v>
      </c>
      <c r="M92" s="1" t="s">
        <v>686</v>
      </c>
    </row>
    <row r="93" spans="5:13">
      <c r="E93" s="19" t="s">
        <v>688</v>
      </c>
      <c r="I93" s="19" t="s">
        <v>699</v>
      </c>
      <c r="M93" s="1" t="s">
        <v>686</v>
      </c>
    </row>
    <row r="94" spans="5:13">
      <c r="I94" s="19" t="s">
        <v>699</v>
      </c>
      <c r="M94" s="1" t="s">
        <v>686</v>
      </c>
    </row>
    <row r="95" spans="5:13">
      <c r="I95" s="19" t="s">
        <v>699</v>
      </c>
      <c r="M95" s="1" t="s">
        <v>686</v>
      </c>
    </row>
    <row r="96" spans="5:13">
      <c r="I96" s="19" t="s">
        <v>699</v>
      </c>
      <c r="M96" s="1" t="s">
        <v>686</v>
      </c>
    </row>
    <row r="97" spans="9:13">
      <c r="I97" s="19" t="s">
        <v>699</v>
      </c>
      <c r="M97" s="1"/>
    </row>
    <row r="98" spans="9:13">
      <c r="I98" s="19" t="s">
        <v>699</v>
      </c>
      <c r="M98" s="1" t="s">
        <v>726</v>
      </c>
    </row>
    <row r="99" spans="9:13">
      <c r="I99" s="19" t="s">
        <v>699</v>
      </c>
      <c r="M99" s="1" t="s">
        <v>726</v>
      </c>
    </row>
    <row r="100" spans="9:13">
      <c r="I100" s="19" t="s">
        <v>699</v>
      </c>
      <c r="M100" s="1" t="s">
        <v>726</v>
      </c>
    </row>
    <row r="101" spans="9:13">
      <c r="I101" s="19" t="s">
        <v>699</v>
      </c>
      <c r="M101" s="1" t="s">
        <v>726</v>
      </c>
    </row>
    <row r="102" spans="9:13">
      <c r="I102" s="19" t="s">
        <v>699</v>
      </c>
      <c r="M102" s="1" t="s">
        <v>726</v>
      </c>
    </row>
    <row r="103" spans="9:13">
      <c r="I103" s="19" t="s">
        <v>699</v>
      </c>
      <c r="M103" s="1" t="s">
        <v>726</v>
      </c>
    </row>
    <row r="104" spans="9:13">
      <c r="I104" s="19" t="s">
        <v>699</v>
      </c>
      <c r="M104" s="1" t="s">
        <v>724</v>
      </c>
    </row>
    <row r="105" spans="9:13">
      <c r="I105" s="19" t="s">
        <v>699</v>
      </c>
      <c r="M105" s="1" t="s">
        <v>724</v>
      </c>
    </row>
    <row r="106" spans="9:13">
      <c r="I106" s="19" t="s">
        <v>691</v>
      </c>
      <c r="M106" s="1" t="s">
        <v>724</v>
      </c>
    </row>
    <row r="107" spans="9:13">
      <c r="I107" s="19" t="s">
        <v>691</v>
      </c>
      <c r="M107" s="1" t="s">
        <v>724</v>
      </c>
    </row>
    <row r="108" spans="9:13">
      <c r="I108" s="19" t="s">
        <v>691</v>
      </c>
      <c r="M108" s="1"/>
    </row>
    <row r="109" spans="9:13">
      <c r="I109" s="19" t="s">
        <v>691</v>
      </c>
      <c r="M109" s="1" t="s">
        <v>727</v>
      </c>
    </row>
    <row r="110" spans="9:13">
      <c r="I110" s="19" t="s">
        <v>691</v>
      </c>
      <c r="M110" s="1" t="s">
        <v>727</v>
      </c>
    </row>
    <row r="111" spans="9:13">
      <c r="I111" s="19" t="s">
        <v>699</v>
      </c>
      <c r="M111" s="1"/>
    </row>
    <row r="112" spans="9:13">
      <c r="I112" s="19" t="s">
        <v>699</v>
      </c>
      <c r="M112" s="1" t="s">
        <v>727</v>
      </c>
    </row>
    <row r="113" spans="9:13">
      <c r="I113" s="19" t="s">
        <v>699</v>
      </c>
      <c r="M113" s="1" t="s">
        <v>686</v>
      </c>
    </row>
    <row r="114" spans="9:13">
      <c r="I114" s="19" t="s">
        <v>699</v>
      </c>
    </row>
    <row r="115" spans="9:13">
      <c r="I115" s="19" t="s">
        <v>699</v>
      </c>
    </row>
    <row r="116" spans="9:13">
      <c r="I116" s="19" t="s">
        <v>699</v>
      </c>
    </row>
    <row r="117" spans="9:13">
      <c r="I117" s="19" t="s">
        <v>689</v>
      </c>
    </row>
    <row r="118" spans="9:13">
      <c r="I118" s="19" t="s">
        <v>699</v>
      </c>
    </row>
    <row r="119" spans="9:13">
      <c r="I119" s="19" t="s">
        <v>699</v>
      </c>
    </row>
    <row r="120" spans="9:13">
      <c r="I120" s="19" t="s">
        <v>699</v>
      </c>
    </row>
    <row r="121" spans="9:13">
      <c r="I121" s="19" t="s">
        <v>689</v>
      </c>
    </row>
    <row r="122" spans="9:13">
      <c r="I122" s="19" t="s">
        <v>699</v>
      </c>
    </row>
    <row r="123" spans="9:13">
      <c r="I123" s="19" t="s">
        <v>692</v>
      </c>
    </row>
    <row r="124" spans="9:13">
      <c r="I124" s="19" t="s">
        <v>715</v>
      </c>
    </row>
    <row r="125" spans="9:13">
      <c r="I125" s="19" t="s">
        <v>674</v>
      </c>
    </row>
    <row r="126" spans="9:13">
      <c r="I126" s="19" t="s">
        <v>681</v>
      </c>
    </row>
    <row r="127" spans="9:13">
      <c r="I127" s="19" t="s">
        <v>699</v>
      </c>
    </row>
    <row r="128" spans="9:13">
      <c r="I128" s="19" t="s">
        <v>699</v>
      </c>
    </row>
    <row r="129" spans="9:9">
      <c r="I129" s="19" t="s">
        <v>674</v>
      </c>
    </row>
    <row r="130" spans="9:9">
      <c r="I130" s="19"/>
    </row>
    <row r="131" spans="9:9">
      <c r="I131" s="19" t="s">
        <v>691</v>
      </c>
    </row>
    <row r="132" spans="9:9">
      <c r="I132" s="19"/>
    </row>
    <row r="133" spans="9:9">
      <c r="I133" s="19" t="s">
        <v>689</v>
      </c>
    </row>
    <row r="134" spans="9:9">
      <c r="I134" s="19" t="s">
        <v>689</v>
      </c>
    </row>
    <row r="135" spans="9:9">
      <c r="I135" s="19" t="s">
        <v>689</v>
      </c>
    </row>
    <row r="136" spans="9:9">
      <c r="I136" s="19" t="s">
        <v>689</v>
      </c>
    </row>
    <row r="137" spans="9:9">
      <c r="I137" s="19" t="s">
        <v>692</v>
      </c>
    </row>
    <row r="138" spans="9:9">
      <c r="I138" s="19" t="s">
        <v>692</v>
      </c>
    </row>
    <row r="139" spans="9:9">
      <c r="I139" s="19" t="s">
        <v>692</v>
      </c>
    </row>
    <row r="140" spans="9:9">
      <c r="I140" s="19"/>
    </row>
    <row r="141" spans="9:9">
      <c r="I141" s="19" t="s">
        <v>681</v>
      </c>
    </row>
    <row r="142" spans="9:9">
      <c r="I142" s="19" t="s">
        <v>681</v>
      </c>
    </row>
    <row r="143" spans="9:9">
      <c r="I143" s="19" t="s">
        <v>674</v>
      </c>
    </row>
    <row r="144" spans="9:9">
      <c r="I144" s="19"/>
    </row>
    <row r="145" spans="9:9">
      <c r="I145" s="19"/>
    </row>
    <row r="146" spans="9:9">
      <c r="I146" s="19" t="s">
        <v>692</v>
      </c>
    </row>
    <row r="147" spans="9:9">
      <c r="I147" s="19" t="s">
        <v>699</v>
      </c>
    </row>
    <row r="148" spans="9:9">
      <c r="I148" s="19" t="s">
        <v>692</v>
      </c>
    </row>
    <row r="149" spans="9:9">
      <c r="I149" s="19" t="s">
        <v>717</v>
      </c>
    </row>
    <row r="150" spans="9:9">
      <c r="I150" s="19" t="s">
        <v>717</v>
      </c>
    </row>
    <row r="151" spans="9:9">
      <c r="I151" s="19" t="s">
        <v>717</v>
      </c>
    </row>
    <row r="152" spans="9:9">
      <c r="I152" s="19" t="s">
        <v>717</v>
      </c>
    </row>
    <row r="153" spans="9:9">
      <c r="I153" s="19" t="s">
        <v>717</v>
      </c>
    </row>
    <row r="154" spans="9:9">
      <c r="I154" s="19" t="s">
        <v>717</v>
      </c>
    </row>
    <row r="155" spans="9:9">
      <c r="I155" s="19" t="s">
        <v>681</v>
      </c>
    </row>
    <row r="156" spans="9:9">
      <c r="I156" s="19" t="s">
        <v>717</v>
      </c>
    </row>
    <row r="157" spans="9:9">
      <c r="I157" s="19" t="s">
        <v>692</v>
      </c>
    </row>
    <row r="158" spans="9:9">
      <c r="I158" s="19" t="s">
        <v>681</v>
      </c>
    </row>
    <row r="159" spans="9:9">
      <c r="I159" s="19" t="s">
        <v>681</v>
      </c>
    </row>
    <row r="160" spans="9:9">
      <c r="I160" s="19" t="s">
        <v>681</v>
      </c>
    </row>
    <row r="161" spans="9:9">
      <c r="I161" s="19" t="s">
        <v>681</v>
      </c>
    </row>
    <row r="162" spans="9:9">
      <c r="I162" s="19" t="s">
        <v>681</v>
      </c>
    </row>
    <row r="163" spans="9:9">
      <c r="I163" s="19" t="s">
        <v>681</v>
      </c>
    </row>
    <row r="164" spans="9:9">
      <c r="I164" s="19" t="s">
        <v>681</v>
      </c>
    </row>
    <row r="165" spans="9:9">
      <c r="I165" s="19" t="s">
        <v>681</v>
      </c>
    </row>
    <row r="166" spans="9:9">
      <c r="I166" s="19" t="s">
        <v>692</v>
      </c>
    </row>
    <row r="167" spans="9:9">
      <c r="I167" s="19" t="s">
        <v>681</v>
      </c>
    </row>
    <row r="168" spans="9:9">
      <c r="I168" s="19"/>
    </row>
    <row r="169" spans="9:9">
      <c r="I169" s="19"/>
    </row>
    <row r="170" spans="9:9">
      <c r="I170" s="19" t="s">
        <v>681</v>
      </c>
    </row>
    <row r="171" spans="9:9">
      <c r="I171" s="19" t="s">
        <v>681</v>
      </c>
    </row>
    <row r="172" spans="9:9">
      <c r="I172" s="19" t="s">
        <v>681</v>
      </c>
    </row>
    <row r="173" spans="9:9">
      <c r="I173" s="19" t="s">
        <v>699</v>
      </c>
    </row>
    <row r="174" spans="9:9">
      <c r="I174" s="19" t="s">
        <v>692</v>
      </c>
    </row>
    <row r="175" spans="9:9">
      <c r="I175" s="19"/>
    </row>
    <row r="176" spans="9:9">
      <c r="I176" s="19" t="s">
        <v>692</v>
      </c>
    </row>
    <row r="177" spans="9:9">
      <c r="I177" s="19" t="s">
        <v>692</v>
      </c>
    </row>
    <row r="178" spans="9:9">
      <c r="I178" s="19" t="s">
        <v>692</v>
      </c>
    </row>
    <row r="179" spans="9:9">
      <c r="I179" s="19"/>
    </row>
    <row r="180" spans="9:9">
      <c r="I180" s="19" t="s">
        <v>674</v>
      </c>
    </row>
    <row r="181" spans="9:9">
      <c r="I181" s="19" t="s">
        <v>674</v>
      </c>
    </row>
    <row r="182" spans="9:9">
      <c r="I182" s="19" t="s">
        <v>692</v>
      </c>
    </row>
    <row r="183" spans="9:9">
      <c r="I183" s="19" t="s">
        <v>692</v>
      </c>
    </row>
    <row r="184" spans="9:9">
      <c r="I184" s="19" t="s">
        <v>692</v>
      </c>
    </row>
    <row r="185" spans="9:9">
      <c r="I185" s="19" t="s">
        <v>692</v>
      </c>
    </row>
    <row r="186" spans="9:9">
      <c r="I186" s="19" t="s">
        <v>674</v>
      </c>
    </row>
    <row r="187" spans="9:9">
      <c r="I187" s="19" t="s">
        <v>674</v>
      </c>
    </row>
    <row r="188" spans="9:9">
      <c r="I188" s="19" t="s">
        <v>674</v>
      </c>
    </row>
    <row r="189" spans="9:9">
      <c r="I189" s="19" t="s">
        <v>692</v>
      </c>
    </row>
    <row r="190" spans="9:9">
      <c r="I190" s="19" t="s">
        <v>699</v>
      </c>
    </row>
    <row r="191" spans="9:9">
      <c r="I191" s="19" t="s">
        <v>692</v>
      </c>
    </row>
    <row r="192" spans="9:9">
      <c r="I192" s="19" t="s">
        <v>721</v>
      </c>
    </row>
    <row r="193" spans="9:9">
      <c r="I193" s="19" t="s">
        <v>721</v>
      </c>
    </row>
    <row r="194" spans="9:9">
      <c r="I194" s="19" t="s">
        <v>721</v>
      </c>
    </row>
    <row r="195" spans="9:9">
      <c r="I195" s="19" t="s">
        <v>721</v>
      </c>
    </row>
    <row r="196" spans="9:9">
      <c r="I196" s="19" t="s">
        <v>721</v>
      </c>
    </row>
    <row r="197" spans="9:9">
      <c r="I197" s="19" t="s">
        <v>683</v>
      </c>
    </row>
    <row r="198" spans="9:9">
      <c r="I198" s="19" t="s">
        <v>692</v>
      </c>
    </row>
    <row r="199" spans="9:9">
      <c r="I199" s="19" t="s">
        <v>692</v>
      </c>
    </row>
    <row r="200" spans="9:9">
      <c r="I200" s="19"/>
    </row>
    <row r="201" spans="9:9">
      <c r="I201" s="19" t="s">
        <v>692</v>
      </c>
    </row>
    <row r="202" spans="9:9">
      <c r="I202" s="19" t="s">
        <v>692</v>
      </c>
    </row>
    <row r="203" spans="9:9">
      <c r="I203" s="19"/>
    </row>
    <row r="204" spans="9:9">
      <c r="I204" s="19" t="s">
        <v>721</v>
      </c>
    </row>
    <row r="205" spans="9:9">
      <c r="I205" s="19" t="s">
        <v>681</v>
      </c>
    </row>
    <row r="206" spans="9:9">
      <c r="I206" s="19" t="s">
        <v>681</v>
      </c>
    </row>
    <row r="207" spans="9:9">
      <c r="I207" s="19" t="s">
        <v>681</v>
      </c>
    </row>
    <row r="208" spans="9:9">
      <c r="I208" s="19" t="s">
        <v>681</v>
      </c>
    </row>
    <row r="209" spans="9:9" ht="15" thickBot="1">
      <c r="I209" s="38" t="s">
        <v>681</v>
      </c>
    </row>
    <row r="210" spans="9:9">
      <c r="I210" s="19" t="s">
        <v>689</v>
      </c>
    </row>
    <row r="211" spans="9:9">
      <c r="I211" s="19" t="s">
        <v>690</v>
      </c>
    </row>
    <row r="212" spans="9:9">
      <c r="I212" s="19" t="s">
        <v>690</v>
      </c>
    </row>
    <row r="213" spans="9:9">
      <c r="I213" s="19" t="s">
        <v>689</v>
      </c>
    </row>
    <row r="214" spans="9:9">
      <c r="I214" s="19" t="s">
        <v>690</v>
      </c>
    </row>
    <row r="215" spans="9:9">
      <c r="I215" s="19"/>
    </row>
    <row r="216" spans="9:9">
      <c r="I216" s="19" t="s">
        <v>689</v>
      </c>
    </row>
    <row r="217" spans="9:9">
      <c r="I217" s="19" t="s">
        <v>688</v>
      </c>
    </row>
    <row r="218" spans="9:9">
      <c r="I218" s="19" t="s">
        <v>691</v>
      </c>
    </row>
    <row r="219" spans="9:9">
      <c r="I219" s="19" t="s">
        <v>688</v>
      </c>
    </row>
    <row r="220" spans="9:9">
      <c r="I220" s="19" t="s">
        <v>693</v>
      </c>
    </row>
    <row r="221" spans="9:9">
      <c r="I221" s="19" t="s">
        <v>692</v>
      </c>
    </row>
    <row r="222" spans="9:9">
      <c r="I222" s="19" t="s">
        <v>692</v>
      </c>
    </row>
    <row r="223" spans="9:9">
      <c r="I223" s="19" t="s">
        <v>692</v>
      </c>
    </row>
    <row r="224" spans="9:9">
      <c r="I224" s="19" t="s">
        <v>692</v>
      </c>
    </row>
    <row r="225" spans="9:9">
      <c r="I225" s="19" t="s">
        <v>692</v>
      </c>
    </row>
    <row r="226" spans="9:9" ht="28.8">
      <c r="I226" s="19" t="s">
        <v>695</v>
      </c>
    </row>
    <row r="227" spans="9:9" ht="28.8">
      <c r="I227" s="19" t="s">
        <v>695</v>
      </c>
    </row>
    <row r="228" spans="9:9">
      <c r="I228" s="19" t="s">
        <v>697</v>
      </c>
    </row>
    <row r="229" spans="9:9">
      <c r="I229" s="19" t="s">
        <v>697</v>
      </c>
    </row>
    <row r="230" spans="9:9" ht="28.8">
      <c r="I230" s="19" t="s">
        <v>698</v>
      </c>
    </row>
    <row r="231" spans="9:9">
      <c r="I231" s="19" t="s">
        <v>700</v>
      </c>
    </row>
    <row r="232" spans="9:9" ht="28.8">
      <c r="I232" s="19" t="s">
        <v>701</v>
      </c>
    </row>
    <row r="233" spans="9:9">
      <c r="I233" s="19" t="s">
        <v>674</v>
      </c>
    </row>
    <row r="234" spans="9:9">
      <c r="I234" s="19" t="s">
        <v>674</v>
      </c>
    </row>
    <row r="235" spans="9:9">
      <c r="I235" s="19" t="s">
        <v>674</v>
      </c>
    </row>
    <row r="236" spans="9:9">
      <c r="I236" s="19" t="s">
        <v>674</v>
      </c>
    </row>
    <row r="237" spans="9:9">
      <c r="I237" s="19" t="s">
        <v>674</v>
      </c>
    </row>
    <row r="238" spans="9:9">
      <c r="I238" s="19" t="s">
        <v>674</v>
      </c>
    </row>
    <row r="239" spans="9:9">
      <c r="I239" s="19" t="s">
        <v>674</v>
      </c>
    </row>
    <row r="240" spans="9:9">
      <c r="I240" s="19" t="s">
        <v>674</v>
      </c>
    </row>
    <row r="241" spans="9:9">
      <c r="I241" s="19" t="s">
        <v>674</v>
      </c>
    </row>
    <row r="242" spans="9:9">
      <c r="I242" s="19" t="s">
        <v>674</v>
      </c>
    </row>
    <row r="243" spans="9:9">
      <c r="I243" s="19" t="s">
        <v>674</v>
      </c>
    </row>
    <row r="244" spans="9:9">
      <c r="I244" s="19" t="s">
        <v>674</v>
      </c>
    </row>
    <row r="245" spans="9:9">
      <c r="I245" s="19" t="s">
        <v>674</v>
      </c>
    </row>
    <row r="246" spans="9:9">
      <c r="I246" s="19" t="s">
        <v>674</v>
      </c>
    </row>
    <row r="247" spans="9:9">
      <c r="I247" s="19" t="s">
        <v>702</v>
      </c>
    </row>
    <row r="248" spans="9:9">
      <c r="I248" s="19" t="s">
        <v>702</v>
      </c>
    </row>
    <row r="249" spans="9:9">
      <c r="I249" s="19" t="s">
        <v>674</v>
      </c>
    </row>
    <row r="250" spans="9:9">
      <c r="I250" s="19" t="s">
        <v>674</v>
      </c>
    </row>
    <row r="251" spans="9:9">
      <c r="I251" s="19" t="s">
        <v>674</v>
      </c>
    </row>
    <row r="252" spans="9:9">
      <c r="I252" s="19" t="s">
        <v>674</v>
      </c>
    </row>
    <row r="253" spans="9:9">
      <c r="I253" s="19" t="s">
        <v>674</v>
      </c>
    </row>
    <row r="254" spans="9:9">
      <c r="I254" s="19" t="s">
        <v>674</v>
      </c>
    </row>
    <row r="255" spans="9:9">
      <c r="I255" s="19" t="s">
        <v>704</v>
      </c>
    </row>
    <row r="256" spans="9:9">
      <c r="I256" s="19" t="s">
        <v>706</v>
      </c>
    </row>
    <row r="257" spans="9:9">
      <c r="I257" s="19" t="s">
        <v>702</v>
      </c>
    </row>
    <row r="258" spans="9:9">
      <c r="I258" s="19" t="s">
        <v>674</v>
      </c>
    </row>
    <row r="259" spans="9:9">
      <c r="I259" s="19" t="s">
        <v>707</v>
      </c>
    </row>
    <row r="260" spans="9:9">
      <c r="I260" s="19" t="s">
        <v>674</v>
      </c>
    </row>
    <row r="261" spans="9:9">
      <c r="I261" s="19" t="s">
        <v>702</v>
      </c>
    </row>
    <row r="262" spans="9:9">
      <c r="I262" s="19" t="s">
        <v>674</v>
      </c>
    </row>
    <row r="263" spans="9:9">
      <c r="I263" s="19"/>
    </row>
    <row r="264" spans="9:9">
      <c r="I264" s="19" t="s">
        <v>750</v>
      </c>
    </row>
    <row r="265" spans="9:9">
      <c r="I265" s="19" t="s">
        <v>708</v>
      </c>
    </row>
    <row r="266" spans="9:9">
      <c r="I266" s="19"/>
    </row>
    <row r="267" spans="9:9">
      <c r="I267" s="19" t="s">
        <v>709</v>
      </c>
    </row>
    <row r="268" spans="9:9">
      <c r="I268" s="19"/>
    </row>
    <row r="269" spans="9:9">
      <c r="I269" s="19"/>
    </row>
    <row r="270" spans="9:9">
      <c r="I270" s="19" t="s">
        <v>674</v>
      </c>
    </row>
    <row r="271" spans="9:9">
      <c r="I271" s="19" t="s">
        <v>751</v>
      </c>
    </row>
    <row r="272" spans="9:9">
      <c r="I272" s="19"/>
    </row>
    <row r="273" spans="9:9" ht="28.8">
      <c r="I273" s="19" t="s">
        <v>752</v>
      </c>
    </row>
    <row r="274" spans="9:9">
      <c r="I274" s="19"/>
    </row>
    <row r="275" spans="9:9" ht="28.8">
      <c r="I275" s="19" t="s">
        <v>711</v>
      </c>
    </row>
    <row r="276" spans="9:9">
      <c r="I276" s="19" t="s">
        <v>674</v>
      </c>
    </row>
    <row r="277" spans="9:9">
      <c r="I277" s="19" t="s">
        <v>753</v>
      </c>
    </row>
    <row r="278" spans="9:9">
      <c r="I278" s="19" t="s">
        <v>679</v>
      </c>
    </row>
    <row r="279" spans="9:9">
      <c r="I279" s="19" t="s">
        <v>679</v>
      </c>
    </row>
    <row r="280" spans="9:9">
      <c r="I280" s="19" t="s">
        <v>694</v>
      </c>
    </row>
    <row r="281" spans="9:9">
      <c r="I281" s="19"/>
    </row>
    <row r="282" spans="9:9" ht="28.8">
      <c r="I282" s="19" t="s">
        <v>677</v>
      </c>
    </row>
    <row r="283" spans="9:9" ht="28.8">
      <c r="I283" s="19" t="s">
        <v>677</v>
      </c>
    </row>
    <row r="284" spans="9:9" ht="28.8">
      <c r="I284" s="19" t="s">
        <v>677</v>
      </c>
    </row>
    <row r="285" spans="9:9" ht="28.8">
      <c r="I285" s="19" t="s">
        <v>677</v>
      </c>
    </row>
    <row r="286" spans="9:9" ht="28.8">
      <c r="I286" s="19" t="s">
        <v>677</v>
      </c>
    </row>
    <row r="287" spans="9:9" ht="28.8">
      <c r="I287" s="19" t="s">
        <v>677</v>
      </c>
    </row>
    <row r="288" spans="9:9" ht="28.8">
      <c r="I288" s="19" t="s">
        <v>677</v>
      </c>
    </row>
    <row r="289" spans="9:9" ht="28.8">
      <c r="I289" s="19" t="s">
        <v>677</v>
      </c>
    </row>
    <row r="290" spans="9:9" ht="28.8">
      <c r="I290" s="19" t="s">
        <v>677</v>
      </c>
    </row>
    <row r="291" spans="9:9" ht="28.8">
      <c r="I291" s="19" t="s">
        <v>677</v>
      </c>
    </row>
    <row r="292" spans="9:9" ht="28.8">
      <c r="I292" s="19" t="s">
        <v>677</v>
      </c>
    </row>
    <row r="293" spans="9:9" ht="28.8">
      <c r="I293" s="19" t="s">
        <v>677</v>
      </c>
    </row>
    <row r="294" spans="9:9">
      <c r="I294" s="19" t="s">
        <v>699</v>
      </c>
    </row>
    <row r="295" spans="9:9">
      <c r="I295" s="19" t="s">
        <v>699</v>
      </c>
    </row>
    <row r="296" spans="9:9">
      <c r="I296" s="19" t="s">
        <v>699</v>
      </c>
    </row>
    <row r="297" spans="9:9">
      <c r="I297" s="19" t="s">
        <v>699</v>
      </c>
    </row>
    <row r="298" spans="9:9">
      <c r="I298" s="19" t="s">
        <v>699</v>
      </c>
    </row>
    <row r="299" spans="9:9">
      <c r="I299" s="19" t="s">
        <v>699</v>
      </c>
    </row>
    <row r="300" spans="9:9">
      <c r="I300" s="19" t="s">
        <v>699</v>
      </c>
    </row>
    <row r="301" spans="9:9">
      <c r="I301" s="19" t="s">
        <v>674</v>
      </c>
    </row>
    <row r="302" spans="9:9">
      <c r="I302" s="19" t="s">
        <v>674</v>
      </c>
    </row>
    <row r="303" spans="9:9">
      <c r="I303" s="19" t="s">
        <v>674</v>
      </c>
    </row>
    <row r="304" spans="9:9">
      <c r="I304" s="19" t="s">
        <v>674</v>
      </c>
    </row>
    <row r="305" spans="9:9">
      <c r="I305" s="19" t="s">
        <v>674</v>
      </c>
    </row>
    <row r="306" spans="9:9">
      <c r="I306" s="19" t="s">
        <v>674</v>
      </c>
    </row>
    <row r="307" spans="9:9">
      <c r="I307" s="19" t="s">
        <v>681</v>
      </c>
    </row>
    <row r="308" spans="9:9">
      <c r="I308" s="19" t="s">
        <v>681</v>
      </c>
    </row>
    <row r="309" spans="9:9">
      <c r="I309" s="19" t="s">
        <v>681</v>
      </c>
    </row>
    <row r="310" spans="9:9">
      <c r="I310" s="19" t="s">
        <v>681</v>
      </c>
    </row>
    <row r="311" spans="9:9">
      <c r="I311" s="19" t="s">
        <v>681</v>
      </c>
    </row>
    <row r="312" spans="9:9">
      <c r="I312" s="19" t="s">
        <v>699</v>
      </c>
    </row>
    <row r="313" spans="9:9">
      <c r="I313" s="19" t="s">
        <v>699</v>
      </c>
    </row>
    <row r="314" spans="9:9">
      <c r="I314" s="19" t="s">
        <v>699</v>
      </c>
    </row>
    <row r="315" spans="9:9">
      <c r="I315" s="19" t="s">
        <v>699</v>
      </c>
    </row>
    <row r="316" spans="9:9">
      <c r="I316" s="19" t="s">
        <v>699</v>
      </c>
    </row>
    <row r="317" spans="9:9">
      <c r="I317" s="19" t="s">
        <v>699</v>
      </c>
    </row>
    <row r="318" spans="9:9">
      <c r="I318" s="19" t="s">
        <v>699</v>
      </c>
    </row>
    <row r="319" spans="9:9">
      <c r="I319" s="19" t="s">
        <v>699</v>
      </c>
    </row>
    <row r="320" spans="9:9">
      <c r="I320" s="19" t="s">
        <v>699</v>
      </c>
    </row>
    <row r="321" spans="9:9">
      <c r="I321" s="19" t="s">
        <v>694</v>
      </c>
    </row>
    <row r="322" spans="9:9">
      <c r="I322" s="19" t="s">
        <v>699</v>
      </c>
    </row>
    <row r="323" spans="9:9">
      <c r="I323" s="19" t="s">
        <v>699</v>
      </c>
    </row>
    <row r="324" spans="9:9">
      <c r="I324" s="19" t="s">
        <v>694</v>
      </c>
    </row>
    <row r="325" spans="9:9">
      <c r="I325" s="19" t="s">
        <v>692</v>
      </c>
    </row>
    <row r="326" spans="9:9">
      <c r="I326" s="19" t="s">
        <v>681</v>
      </c>
    </row>
    <row r="327" spans="9:9">
      <c r="I327" s="19" t="s">
        <v>681</v>
      </c>
    </row>
    <row r="328" spans="9:9">
      <c r="I328" s="19" t="s">
        <v>691</v>
      </c>
    </row>
    <row r="329" spans="9:9">
      <c r="I329" s="19" t="s">
        <v>694</v>
      </c>
    </row>
    <row r="330" spans="9:9">
      <c r="I330" s="19" t="s">
        <v>674</v>
      </c>
    </row>
    <row r="331" spans="9:9">
      <c r="I331" s="19" t="s">
        <v>699</v>
      </c>
    </row>
    <row r="332" spans="9:9">
      <c r="I332" s="19" t="s">
        <v>715</v>
      </c>
    </row>
    <row r="333" spans="9:9">
      <c r="I333" s="19" t="s">
        <v>674</v>
      </c>
    </row>
    <row r="334" spans="9:9">
      <c r="I334" s="19" t="s">
        <v>681</v>
      </c>
    </row>
    <row r="335" spans="9:9">
      <c r="I335" s="19" t="s">
        <v>699</v>
      </c>
    </row>
    <row r="336" spans="9:9">
      <c r="I336" s="19" t="s">
        <v>699</v>
      </c>
    </row>
    <row r="337" spans="9:9" ht="28.8">
      <c r="I337" s="19" t="s">
        <v>716</v>
      </c>
    </row>
    <row r="338" spans="9:9">
      <c r="I338" s="19"/>
    </row>
    <row r="339" spans="9:9" ht="28.8">
      <c r="I339" s="19" t="s">
        <v>716</v>
      </c>
    </row>
    <row r="340" spans="9:9">
      <c r="I340" s="19"/>
    </row>
    <row r="341" spans="9:9">
      <c r="I341" s="19" t="s">
        <v>694</v>
      </c>
    </row>
    <row r="342" spans="9:9">
      <c r="I342" s="19" t="s">
        <v>694</v>
      </c>
    </row>
    <row r="343" spans="9:9">
      <c r="I343" s="19" t="s">
        <v>694</v>
      </c>
    </row>
    <row r="344" spans="9:9">
      <c r="I344" s="19" t="s">
        <v>694</v>
      </c>
    </row>
    <row r="345" spans="9:9">
      <c r="I345" s="19" t="s">
        <v>689</v>
      </c>
    </row>
    <row r="346" spans="9:9">
      <c r="I346" s="19" t="s">
        <v>692</v>
      </c>
    </row>
    <row r="347" spans="9:9">
      <c r="I347" s="19" t="s">
        <v>692</v>
      </c>
    </row>
    <row r="348" spans="9:9">
      <c r="I348" s="19"/>
    </row>
    <row r="349" spans="9:9">
      <c r="I349" s="19" t="s">
        <v>681</v>
      </c>
    </row>
    <row r="350" spans="9:9">
      <c r="I350" s="19" t="s">
        <v>689</v>
      </c>
    </row>
    <row r="351" spans="9:9">
      <c r="I351" s="19" t="s">
        <v>674</v>
      </c>
    </row>
    <row r="352" spans="9:9">
      <c r="I352" s="19"/>
    </row>
    <row r="353" spans="9:9">
      <c r="I353" s="19"/>
    </row>
    <row r="354" spans="9:9">
      <c r="I354" s="19" t="s">
        <v>717</v>
      </c>
    </row>
    <row r="355" spans="9:9">
      <c r="I355" s="19" t="s">
        <v>692</v>
      </c>
    </row>
    <row r="356" spans="9:9">
      <c r="I356" s="19" t="s">
        <v>692</v>
      </c>
    </row>
    <row r="357" spans="9:9">
      <c r="I357" s="19" t="s">
        <v>681</v>
      </c>
    </row>
    <row r="358" spans="9:9">
      <c r="I358" s="19" t="s">
        <v>681</v>
      </c>
    </row>
    <row r="359" spans="9:9">
      <c r="I359" s="19" t="s">
        <v>681</v>
      </c>
    </row>
    <row r="360" spans="9:9">
      <c r="I360" s="19" t="s">
        <v>681</v>
      </c>
    </row>
    <row r="361" spans="9:9">
      <c r="I361" s="19" t="s">
        <v>681</v>
      </c>
    </row>
    <row r="362" spans="9:9">
      <c r="I362" s="19" t="s">
        <v>681</v>
      </c>
    </row>
    <row r="363" spans="9:9">
      <c r="I363" s="19" t="s">
        <v>681</v>
      </c>
    </row>
    <row r="364" spans="9:9">
      <c r="I364" s="19" t="s">
        <v>681</v>
      </c>
    </row>
    <row r="365" spans="9:9">
      <c r="I365" s="19" t="s">
        <v>692</v>
      </c>
    </row>
    <row r="366" spans="9:9">
      <c r="I366" s="37" t="s">
        <v>691</v>
      </c>
    </row>
    <row r="367" spans="9:9">
      <c r="I367" s="37" t="s">
        <v>691</v>
      </c>
    </row>
    <row r="368" spans="9:9">
      <c r="I368" s="37" t="s">
        <v>691</v>
      </c>
    </row>
    <row r="369" spans="9:9">
      <c r="I369" s="37" t="s">
        <v>691</v>
      </c>
    </row>
    <row r="370" spans="9:9">
      <c r="I370" s="37" t="s">
        <v>691</v>
      </c>
    </row>
    <row r="371" spans="9:9">
      <c r="I371" s="37" t="s">
        <v>691</v>
      </c>
    </row>
    <row r="372" spans="9:9">
      <c r="I372" s="19" t="s">
        <v>692</v>
      </c>
    </row>
    <row r="373" spans="9:9">
      <c r="I373" s="19" t="s">
        <v>699</v>
      </c>
    </row>
    <row r="374" spans="9:9">
      <c r="I374" s="19" t="s">
        <v>699</v>
      </c>
    </row>
    <row r="375" spans="9:9">
      <c r="I375" s="19" t="s">
        <v>681</v>
      </c>
    </row>
    <row r="376" spans="9:9">
      <c r="I376" s="19"/>
    </row>
    <row r="377" spans="9:9">
      <c r="I377" s="19"/>
    </row>
    <row r="378" spans="9:9">
      <c r="I378" s="19" t="s">
        <v>699</v>
      </c>
    </row>
    <row r="379" spans="9:9">
      <c r="I379" s="19" t="s">
        <v>699</v>
      </c>
    </row>
    <row r="380" spans="9:9">
      <c r="I380" s="19" t="s">
        <v>699</v>
      </c>
    </row>
    <row r="381" spans="9:9">
      <c r="I381" s="19" t="s">
        <v>699</v>
      </c>
    </row>
    <row r="382" spans="9:9">
      <c r="I382" s="19" t="s">
        <v>689</v>
      </c>
    </row>
    <row r="383" spans="9:9">
      <c r="I383" s="19"/>
    </row>
    <row r="384" spans="9:9">
      <c r="I384" s="19" t="s">
        <v>674</v>
      </c>
    </row>
    <row r="385" spans="9:9">
      <c r="I385" s="19" t="s">
        <v>718</v>
      </c>
    </row>
    <row r="386" spans="9:9">
      <c r="I386" s="19" t="s">
        <v>674</v>
      </c>
    </row>
    <row r="387" spans="9:9">
      <c r="I387" s="19"/>
    </row>
    <row r="388" spans="9:9">
      <c r="I388" s="19" t="s">
        <v>674</v>
      </c>
    </row>
    <row r="389" spans="9:9">
      <c r="I389" s="19" t="s">
        <v>674</v>
      </c>
    </row>
    <row r="390" spans="9:9">
      <c r="I390" s="19" t="s">
        <v>721</v>
      </c>
    </row>
    <row r="391" spans="9:9">
      <c r="I391" s="19" t="s">
        <v>721</v>
      </c>
    </row>
    <row r="392" spans="9:9">
      <c r="I392" s="19" t="s">
        <v>721</v>
      </c>
    </row>
    <row r="393" spans="9:9">
      <c r="I393" s="19" t="s">
        <v>692</v>
      </c>
    </row>
    <row r="394" spans="9:9">
      <c r="I394" s="19" t="s">
        <v>722</v>
      </c>
    </row>
    <row r="395" spans="9:9">
      <c r="I395" s="19" t="s">
        <v>722</v>
      </c>
    </row>
    <row r="396" spans="9:9">
      <c r="I396" s="19"/>
    </row>
    <row r="397" spans="9:9">
      <c r="I397" s="19" t="s">
        <v>692</v>
      </c>
    </row>
    <row r="398" spans="9:9" ht="28.8">
      <c r="I398" s="19" t="s">
        <v>714</v>
      </c>
    </row>
    <row r="399" spans="9:9">
      <c r="I399" s="19" t="s">
        <v>692</v>
      </c>
    </row>
    <row r="400" spans="9:9">
      <c r="I400" s="19" t="s">
        <v>681</v>
      </c>
    </row>
    <row r="401" spans="9:9">
      <c r="I401" s="19" t="s">
        <v>681</v>
      </c>
    </row>
    <row r="402" spans="9:9">
      <c r="I402" s="19" t="s">
        <v>681</v>
      </c>
    </row>
    <row r="403" spans="9:9">
      <c r="I403" s="19" t="s">
        <v>681</v>
      </c>
    </row>
    <row r="404" spans="9:9">
      <c r="I404" s="19" t="s">
        <v>681</v>
      </c>
    </row>
    <row r="405" spans="9:9">
      <c r="I405" s="19" t="s">
        <v>692</v>
      </c>
    </row>
    <row r="406" spans="9:9">
      <c r="I406" s="19" t="s">
        <v>692</v>
      </c>
    </row>
    <row r="407" spans="9:9">
      <c r="I407" s="19" t="s">
        <v>692</v>
      </c>
    </row>
    <row r="408" spans="9:9">
      <c r="I408" s="19"/>
    </row>
    <row r="409" spans="9:9">
      <c r="I409" s="19" t="s">
        <v>681</v>
      </c>
    </row>
    <row r="410" spans="9:9">
      <c r="I410" s="19" t="s">
        <v>692</v>
      </c>
    </row>
    <row r="411" spans="9:9">
      <c r="I411" s="19"/>
    </row>
    <row r="412" spans="9:9">
      <c r="I412" s="19" t="s">
        <v>692</v>
      </c>
    </row>
    <row r="413" spans="9:9">
      <c r="I413" s="19" t="s">
        <v>681</v>
      </c>
    </row>
    <row r="414" spans="9:9">
      <c r="I414" s="19" t="s">
        <v>723</v>
      </c>
    </row>
    <row r="415" spans="9:9">
      <c r="I415" s="19" t="s">
        <v>723</v>
      </c>
    </row>
    <row r="416" spans="9:9">
      <c r="I416" s="19" t="s">
        <v>723</v>
      </c>
    </row>
    <row r="417" spans="9:9">
      <c r="I417" s="19" t="s">
        <v>691</v>
      </c>
    </row>
  </sheetData>
  <dataValidations count="2">
    <dataValidation type="list" allowBlank="1" showInputMessage="1" showErrorMessage="1" sqref="A1:A4" xr:uid="{DE5C29DF-B51A-4746-B69C-8742FCA9D4C3}">
      <formula1>$Z$5:$Z$8</formula1>
    </dataValidation>
    <dataValidation type="list" allowBlank="1" showInputMessage="1" showErrorMessage="1" sqref="B1" xr:uid="{9463AA9A-92D1-46A1-8044-67BDA8FE7E23}">
      <formula1>$A$1:$A$4</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6888C-410B-468B-B40C-F15989612611}">
  <sheetPr>
    <tabColor theme="4" tint="0.59999389629810485"/>
  </sheetPr>
  <dimension ref="B2:K24"/>
  <sheetViews>
    <sheetView topLeftCell="F1" zoomScaleNormal="100" workbookViewId="0">
      <selection activeCell="I4" sqref="I4:I10"/>
    </sheetView>
  </sheetViews>
  <sheetFormatPr defaultRowHeight="14.4"/>
  <cols>
    <col min="2" max="2" width="48.5546875" customWidth="1"/>
    <col min="3" max="3" width="18.88671875" customWidth="1"/>
    <col min="4" max="4" width="21.21875" customWidth="1"/>
    <col min="5" max="5" width="40.21875" customWidth="1"/>
    <col min="8" max="8" width="46.77734375" customWidth="1"/>
    <col min="9" max="9" width="25.88671875" customWidth="1"/>
    <col min="10" max="10" width="20.6640625" customWidth="1"/>
    <col min="11" max="11" width="58.5546875" bestFit="1" customWidth="1"/>
  </cols>
  <sheetData>
    <row r="2" spans="2:11">
      <c r="B2" s="20" t="s">
        <v>762</v>
      </c>
      <c r="C2" s="30"/>
      <c r="D2" s="30"/>
      <c r="E2" s="22"/>
      <c r="H2" s="20" t="s">
        <v>763</v>
      </c>
      <c r="I2" s="30"/>
      <c r="J2" s="30"/>
      <c r="K2" s="22"/>
    </row>
    <row r="3" spans="2:11" ht="18">
      <c r="B3" s="23" t="s">
        <v>759</v>
      </c>
      <c r="C3" s="34" t="s">
        <v>760</v>
      </c>
      <c r="D3" s="76" t="s">
        <v>788</v>
      </c>
      <c r="E3" s="24" t="s">
        <v>761</v>
      </c>
      <c r="H3" s="23" t="s">
        <v>759</v>
      </c>
      <c r="I3" s="34" t="s">
        <v>760</v>
      </c>
      <c r="J3" s="35" t="s">
        <v>788</v>
      </c>
      <c r="K3" s="24" t="s">
        <v>761</v>
      </c>
    </row>
    <row r="4" spans="2:11">
      <c r="B4" s="25" t="str" cm="1">
        <f t="array" ref="B4:B11">_xlfn.UNIQUE(_xlfn._xlws.FILTER(Sheet2!K7:K46, Sheet2!K7:K46&lt;&gt;""))</f>
        <v>Interview management ESG</v>
      </c>
      <c r="C4" s="27"/>
      <c r="D4" s="30">
        <f>COUNTIF(Sheet2!$K$7:$K$46, B4)</f>
        <v>7</v>
      </c>
      <c r="E4" s="26"/>
      <c r="H4" s="25" t="str" cm="1">
        <f t="array" ref="H4:H7">_xlfn.UNIQUE(_xlfn._xlws.FILTER(Sheet2!K321:K328, Sheet2!K321:K328&lt;&gt;""))</f>
        <v>Governance overview</v>
      </c>
      <c r="I4" s="27"/>
      <c r="J4" s="30">
        <f>COUNTIF(Sheet2!$K$321:$K$328, H4)</f>
        <v>3</v>
      </c>
      <c r="K4" s="26"/>
    </row>
    <row r="5" spans="2:11">
      <c r="B5" s="27" t="str">
        <v>Balance/economics</v>
      </c>
      <c r="C5" s="27"/>
      <c r="D5" s="31">
        <f>COUNTIF(Sheet2!$K$7:$K$46, B5)</f>
        <v>6</v>
      </c>
      <c r="E5" s="26"/>
      <c r="H5" s="27" t="str">
        <v>Interview management ESG</v>
      </c>
      <c r="I5" s="27"/>
      <c r="J5" s="31">
        <f>COUNTIF(Sheet2!$K$321:$K$328, H5)</f>
        <v>1</v>
      </c>
      <c r="K5" s="26"/>
    </row>
    <row r="6" spans="2:11">
      <c r="B6" s="27" t="str">
        <v>HR reporting</v>
      </c>
      <c r="C6" s="27"/>
      <c r="D6" s="31">
        <f>COUNTIF(Sheet2!$K$7:$K$46, B6)</f>
        <v>1</v>
      </c>
      <c r="E6" s="26"/>
      <c r="H6" s="27" t="str">
        <v>HSE Action plan /Policies / Transition plan</v>
      </c>
      <c r="I6" s="27"/>
      <c r="J6" s="31">
        <f>COUNTIF(Sheet2!$K$321:$K$328, H6)</f>
        <v>1</v>
      </c>
      <c r="K6" s="75"/>
    </row>
    <row r="7" spans="2:11">
      <c r="B7" s="27" t="str">
        <v>Governance overview</v>
      </c>
      <c r="C7" s="27"/>
      <c r="D7" s="31">
        <f>COUNTIF(Sheet2!$K$7:$K$46, B7)</f>
        <v>2</v>
      </c>
      <c r="E7" s="26"/>
      <c r="H7" s="27" t="str">
        <v>Sustainability Governance</v>
      </c>
      <c r="I7" s="27"/>
      <c r="J7" s="31">
        <f>COUNTIF(Sheet2!$K$321:$K$328, H7)</f>
        <v>1</v>
      </c>
      <c r="K7" s="78"/>
    </row>
    <row r="8" spans="2:11">
      <c r="B8" s="27" t="str">
        <v>Environmental certifications</v>
      </c>
      <c r="C8" s="27"/>
      <c r="D8" s="31">
        <f>COUNTIF(Sheet2!$K$7:$K$46, B8)</f>
        <v>1</v>
      </c>
      <c r="E8" s="75"/>
      <c r="H8" s="27"/>
      <c r="I8" s="27"/>
      <c r="J8" s="31"/>
      <c r="K8" s="26"/>
    </row>
    <row r="9" spans="2:11">
      <c r="B9" s="27" t="str">
        <v>HSE action plan</v>
      </c>
      <c r="C9" s="27"/>
      <c r="D9" s="31">
        <f>COUNTIF(Sheet2!$K$7:$K$46, B9)</f>
        <v>1</v>
      </c>
      <c r="E9" s="75"/>
      <c r="H9" s="27"/>
      <c r="I9" s="31"/>
      <c r="J9" s="31"/>
      <c r="K9" s="26"/>
    </row>
    <row r="10" spans="2:11">
      <c r="B10" s="27" t="str">
        <v>HSE policies</v>
      </c>
      <c r="C10" s="27"/>
      <c r="D10" s="31">
        <f>COUNTIF(Sheet2!$K$7:$K$46, B10)</f>
        <v>1</v>
      </c>
      <c r="E10" s="26"/>
      <c r="H10" s="27"/>
      <c r="I10" s="31"/>
      <c r="J10" s="31"/>
      <c r="K10" s="26"/>
    </row>
    <row r="11" spans="2:11" ht="16.8" customHeight="1">
      <c r="B11" s="27" t="str">
        <v>Transition plan</v>
      </c>
      <c r="C11" s="27"/>
      <c r="D11" s="31">
        <f>COUNTIF(Sheet2!$K$7:$K$46, B11)</f>
        <v>3</v>
      </c>
      <c r="E11" s="75"/>
      <c r="H11" s="27"/>
      <c r="I11" s="31"/>
      <c r="J11" s="31"/>
      <c r="K11" s="26"/>
    </row>
    <row r="12" spans="2:11">
      <c r="B12" s="27"/>
      <c r="C12" s="27"/>
      <c r="D12" s="31"/>
      <c r="E12" s="26"/>
      <c r="H12" s="27"/>
      <c r="I12" s="31"/>
      <c r="J12" s="31"/>
      <c r="K12" s="26"/>
    </row>
    <row r="13" spans="2:11">
      <c r="B13" s="27"/>
      <c r="C13" s="31"/>
      <c r="D13" s="26"/>
      <c r="E13" s="26"/>
      <c r="H13" s="27"/>
      <c r="I13" s="31"/>
      <c r="J13" s="31"/>
      <c r="K13" s="26"/>
    </row>
    <row r="14" spans="2:11">
      <c r="B14" s="27"/>
      <c r="C14" s="31"/>
      <c r="D14" s="26"/>
      <c r="E14" s="26"/>
      <c r="H14" s="27"/>
      <c r="I14" s="31"/>
      <c r="J14" s="31"/>
      <c r="K14" s="26"/>
    </row>
    <row r="15" spans="2:11">
      <c r="B15" s="27"/>
      <c r="C15" s="31"/>
      <c r="D15" s="26"/>
      <c r="E15" s="26"/>
      <c r="H15" s="27"/>
      <c r="I15" s="31"/>
      <c r="J15" s="31"/>
      <c r="K15" s="26"/>
    </row>
    <row r="16" spans="2:11">
      <c r="B16" s="27"/>
      <c r="C16" s="31"/>
      <c r="D16" s="26"/>
      <c r="E16" s="26"/>
      <c r="H16" s="27"/>
      <c r="I16" s="31"/>
      <c r="J16" s="31"/>
      <c r="K16" s="26"/>
    </row>
    <row r="17" spans="2:11">
      <c r="B17" s="27"/>
      <c r="C17" s="31"/>
      <c r="D17" s="31"/>
      <c r="E17" s="26"/>
      <c r="H17" s="27"/>
      <c r="I17" s="31"/>
      <c r="J17" s="31"/>
      <c r="K17" s="26"/>
    </row>
    <row r="18" spans="2:11">
      <c r="B18" s="27"/>
      <c r="C18" s="31"/>
      <c r="D18" s="31"/>
      <c r="E18" s="26"/>
      <c r="H18" s="27"/>
      <c r="I18" s="31"/>
      <c r="J18" s="31"/>
      <c r="K18" s="26"/>
    </row>
    <row r="19" spans="2:11">
      <c r="B19" s="27"/>
      <c r="C19" s="31"/>
      <c r="D19" s="31"/>
      <c r="E19" s="26"/>
      <c r="H19" s="27"/>
      <c r="I19" s="31"/>
      <c r="J19" s="31"/>
      <c r="K19" s="26"/>
    </row>
    <row r="20" spans="2:11">
      <c r="B20" s="27"/>
      <c r="C20" s="31"/>
      <c r="D20" s="31"/>
      <c r="E20" s="26"/>
      <c r="H20" s="27"/>
      <c r="I20" s="31"/>
      <c r="J20" s="31"/>
      <c r="K20" s="26"/>
    </row>
    <row r="21" spans="2:11">
      <c r="B21" s="27"/>
      <c r="C21" s="31"/>
      <c r="D21" s="31"/>
      <c r="E21" s="26"/>
      <c r="H21" s="27"/>
      <c r="I21" s="31"/>
      <c r="J21" s="31"/>
      <c r="K21" s="26"/>
    </row>
    <row r="22" spans="2:11">
      <c r="B22" s="27"/>
      <c r="C22" s="31"/>
      <c r="D22" s="31"/>
      <c r="E22" s="26"/>
      <c r="H22" s="27"/>
      <c r="I22" s="31"/>
      <c r="J22" s="31"/>
      <c r="K22" s="26"/>
    </row>
    <row r="23" spans="2:11">
      <c r="B23" s="27"/>
      <c r="C23" s="31"/>
      <c r="D23" s="31"/>
      <c r="E23" s="26"/>
      <c r="H23" s="27"/>
      <c r="I23" s="31"/>
      <c r="J23" s="31"/>
      <c r="K23" s="26"/>
    </row>
    <row r="24" spans="2:11">
      <c r="B24" s="28"/>
      <c r="C24" s="32"/>
      <c r="D24" s="32"/>
      <c r="E24" s="29"/>
      <c r="H24" s="28"/>
      <c r="I24" s="32"/>
      <c r="J24" s="32"/>
      <c r="K24" s="29"/>
    </row>
  </sheetData>
  <autoFilter ref="B3:K3" xr:uid="{51A6888C-410B-468B-B40C-F1598961261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AF01FC2-F802-4720-AAE9-720479172060}">
          <x14:formula1>
            <xm:f>Support!$A$1:$A$4</xm:f>
          </x14:formula1>
          <xm:sqref>C4:C12 I4:I8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6BDC6-5097-49E8-958A-AC026D8DA48D}">
  <sheetPr>
    <tabColor theme="6" tint="0.39997558519241921"/>
  </sheetPr>
  <dimension ref="B2:K52"/>
  <sheetViews>
    <sheetView topLeftCell="B1" zoomScale="88" workbookViewId="0">
      <selection activeCell="E4" sqref="E4:E12"/>
    </sheetView>
  </sheetViews>
  <sheetFormatPr defaultRowHeight="14.4"/>
  <cols>
    <col min="1" max="1" width="8.88671875" style="18"/>
    <col min="2" max="2" width="48.44140625" style="18" customWidth="1"/>
    <col min="3" max="3" width="48.109375" style="18" customWidth="1"/>
    <col min="4" max="4" width="22.109375" style="18" customWidth="1"/>
    <col min="5" max="5" width="23.44140625" style="19" customWidth="1"/>
    <col min="6" max="7" width="8.88671875" style="18"/>
    <col min="8" max="8" width="46.44140625" style="18" customWidth="1"/>
    <col min="9" max="9" width="28.77734375" style="18" customWidth="1"/>
    <col min="10" max="10" width="25" style="18" customWidth="1"/>
    <col min="11" max="11" width="18.33203125" style="18" customWidth="1"/>
    <col min="12" max="16384" width="8.88671875" style="18"/>
  </cols>
  <sheetData>
    <row r="2" spans="2:11">
      <c r="B2" s="39" t="s">
        <v>762</v>
      </c>
      <c r="C2" s="41"/>
      <c r="D2" s="48"/>
      <c r="E2" s="79"/>
      <c r="H2" s="39" t="s">
        <v>763</v>
      </c>
      <c r="I2" s="41"/>
      <c r="J2" s="48"/>
      <c r="K2" s="41"/>
    </row>
    <row r="3" spans="2:11" ht="18">
      <c r="B3" s="40" t="s">
        <v>768</v>
      </c>
      <c r="C3" s="34" t="s">
        <v>760</v>
      </c>
      <c r="D3" s="70" t="s">
        <v>788</v>
      </c>
      <c r="E3" s="80" t="s">
        <v>761</v>
      </c>
      <c r="H3" s="40" t="s">
        <v>768</v>
      </c>
      <c r="I3" s="34" t="s">
        <v>760</v>
      </c>
      <c r="J3" s="45" t="s">
        <v>788</v>
      </c>
      <c r="K3" s="35" t="s">
        <v>761</v>
      </c>
    </row>
    <row r="4" spans="2:11">
      <c r="B4" s="42" t="str" cm="1">
        <f t="array" ref="B4:B9">_xlfn.UNIQUE(_xlfn._xlws.FILTER(Sheet2!$K$53:$K$256, Sheet2!$K$53:$K$256&lt;&gt;""))</f>
        <v>Energy consumption</v>
      </c>
      <c r="C4" s="25"/>
      <c r="D4" s="30">
        <f>COUNTIF(Sheet2!$K$53:$K$256, B4)</f>
        <v>1</v>
      </c>
      <c r="E4" s="81"/>
      <c r="H4" s="42" t="str" cm="1">
        <f t="array" ref="H4:H6">_xlfn.UNIQUE(_xlfn._xlws.FILTER(Sheet2!$K$329:$K$365, Sheet2!$K$329:$K$365&lt;&gt;""))</f>
        <v>GHG emissions - Scope 3</v>
      </c>
      <c r="I4" s="71"/>
      <c r="J4">
        <f>COUNTIF(Sheet2!$K$329:$K$365, H4)</f>
        <v>1</v>
      </c>
      <c r="K4" s="46"/>
    </row>
    <row r="5" spans="2:11">
      <c r="B5" s="42" t="str">
        <v>GHG emissions - Scope 1 &amp; 2</v>
      </c>
      <c r="C5" s="25"/>
      <c r="D5" s="31">
        <f>COUNTIF(Sheet2!$K$53:$K$256, B5)</f>
        <v>4</v>
      </c>
      <c r="E5" s="81"/>
      <c r="H5" s="42" t="str">
        <v>Transition plan</v>
      </c>
      <c r="I5" s="72"/>
      <c r="J5">
        <f>COUNTIF(Sheet2!$K$329:$K$365, H5)</f>
        <v>10</v>
      </c>
      <c r="K5" s="46"/>
    </row>
    <row r="6" spans="2:11">
      <c r="B6" s="42" t="str">
        <v>Environmental monitoring data</v>
      </c>
      <c r="C6" s="25"/>
      <c r="D6" s="31">
        <f>COUNTIF(Sheet2!$K$53:$K$256, B6)</f>
        <v>5</v>
      </c>
      <c r="E6" s="81"/>
      <c r="H6" s="42" t="str">
        <v>Climate risk assessment</v>
      </c>
      <c r="I6" s="72"/>
      <c r="J6">
        <f>COUNTIF(Sheet2!$K$329:$K$365, H6)</f>
        <v>5</v>
      </c>
      <c r="K6" s="46"/>
    </row>
    <row r="7" spans="2:11">
      <c r="B7" s="42" t="str">
        <v>Biodiversity metrics</v>
      </c>
      <c r="C7" s="25"/>
      <c r="D7" s="31">
        <f>COUNTIF(Sheet2!$K$53:$K$256, B7)</f>
        <v>5</v>
      </c>
      <c r="E7" s="81"/>
      <c r="H7" s="42"/>
      <c r="I7" s="72"/>
      <c r="J7">
        <f>COUNTIF(Sheet2!$K$329:$K$365, H7)</f>
        <v>0</v>
      </c>
      <c r="K7" s="46"/>
    </row>
    <row r="8" spans="2:11">
      <c r="B8" s="42" t="str">
        <v>Interview management ESG</v>
      </c>
      <c r="C8" s="25"/>
      <c r="D8" s="31">
        <f>COUNTIF(Sheet2!$K$53:$K$256, B8)</f>
        <v>2</v>
      </c>
      <c r="E8" s="81"/>
      <c r="H8" s="42"/>
      <c r="I8" s="72"/>
      <c r="J8">
        <f>COUNTIF(Sheet2!$K$329:$K$365, H8)</f>
        <v>0</v>
      </c>
      <c r="K8" s="46"/>
    </row>
    <row r="9" spans="2:11">
      <c r="B9" s="42" t="str">
        <v>Material purchased</v>
      </c>
      <c r="C9" s="25"/>
      <c r="D9" s="31">
        <f>COUNTIF(Sheet2!$K$53:$K$256, B9)</f>
        <v>1</v>
      </c>
      <c r="E9" s="81"/>
      <c r="H9" s="42"/>
      <c r="I9" s="72"/>
      <c r="J9">
        <f>COUNTIF(Sheet2!$K$329:$K$365, H9)</f>
        <v>0</v>
      </c>
      <c r="K9" s="46"/>
    </row>
    <row r="10" spans="2:11">
      <c r="B10" s="42"/>
      <c r="C10" s="25"/>
      <c r="D10" s="31">
        <f>COUNTIF(Sheet2!$K$53:$K$256, B10)</f>
        <v>0</v>
      </c>
      <c r="E10" s="81"/>
      <c r="H10" s="42"/>
      <c r="I10" s="72"/>
      <c r="J10">
        <f>COUNTIF(Sheet2!$K$329:$K$365, H10)</f>
        <v>0</v>
      </c>
      <c r="K10" s="46"/>
    </row>
    <row r="11" spans="2:11">
      <c r="B11" s="42"/>
      <c r="C11" s="25"/>
      <c r="D11" s="31">
        <f>COUNTIF(Sheet2!$K$53:$K$256, B11)</f>
        <v>0</v>
      </c>
      <c r="E11" s="81"/>
      <c r="H11" s="42"/>
      <c r="I11" s="72"/>
      <c r="J11">
        <f>COUNTIF(Sheet2!$K$329:$K$365, H11)</f>
        <v>0</v>
      </c>
      <c r="K11" s="46"/>
    </row>
    <row r="12" spans="2:11">
      <c r="B12" s="42"/>
      <c r="C12" s="25"/>
      <c r="D12" s="31">
        <f>COUNTIF(Sheet2!$K$53:$K$256, B12)</f>
        <v>0</v>
      </c>
      <c r="E12" s="81"/>
      <c r="H12" s="42"/>
      <c r="I12" s="72"/>
      <c r="J12">
        <f>COUNTIF(Sheet2!$K$329:$K$365, H12)</f>
        <v>0</v>
      </c>
      <c r="K12" s="46"/>
    </row>
    <row r="13" spans="2:11">
      <c r="B13" s="42"/>
      <c r="C13" s="25"/>
      <c r="D13" s="31">
        <f>COUNTIF(Sheet2!$K$53:$K$256, B13)</f>
        <v>0</v>
      </c>
      <c r="E13" s="81"/>
      <c r="H13" s="42"/>
      <c r="I13" s="31" t="str">
        <f>IFERROR(_xlfn.XLOOKUP(H13,#REF!,#REF!),"")</f>
        <v/>
      </c>
      <c r="K13" s="46"/>
    </row>
    <row r="14" spans="2:11">
      <c r="B14" s="42"/>
      <c r="C14" s="25"/>
      <c r="D14" s="31">
        <f>COUNTIF(Sheet2!$K$53:$K$256, B14)</f>
        <v>0</v>
      </c>
      <c r="E14" s="81"/>
      <c r="H14" s="42"/>
      <c r="I14" s="31" t="str">
        <f>IFERROR(_xlfn.XLOOKUP(H14,#REF!,#REF!),"")</f>
        <v/>
      </c>
      <c r="K14" s="46"/>
    </row>
    <row r="15" spans="2:11">
      <c r="B15" s="42"/>
      <c r="C15" s="25"/>
      <c r="D15" s="31">
        <f>COUNTIF(Sheet2!$K$53:$K$256, B15)</f>
        <v>0</v>
      </c>
      <c r="E15" s="81"/>
      <c r="H15" s="42"/>
      <c r="I15" s="31" t="str">
        <f>IFERROR(_xlfn.XLOOKUP(H15,#REF!,#REF!),"")</f>
        <v/>
      </c>
      <c r="K15" s="46"/>
    </row>
    <row r="16" spans="2:11">
      <c r="B16" s="42"/>
      <c r="C16" s="25"/>
      <c r="D16" s="31">
        <f>COUNTIF(Sheet2!$K$53:$K$256, B16)</f>
        <v>0</v>
      </c>
      <c r="E16" s="81"/>
      <c r="H16" s="42"/>
      <c r="I16" s="31" t="str">
        <f>IFERROR(_xlfn.XLOOKUP(H16,#REF!,#REF!),"")</f>
        <v/>
      </c>
      <c r="K16" s="46"/>
    </row>
    <row r="17" spans="2:11">
      <c r="B17" s="42"/>
      <c r="C17" s="25"/>
      <c r="D17" s="31">
        <f>COUNTIF(Sheet2!$K$53:$K$256, B17)</f>
        <v>0</v>
      </c>
      <c r="E17" s="81"/>
      <c r="H17" s="42"/>
      <c r="I17" s="31"/>
      <c r="K17" s="46"/>
    </row>
    <row r="18" spans="2:11">
      <c r="B18" s="42"/>
      <c r="C18" s="25"/>
      <c r="D18" s="31">
        <f>COUNTIF(Sheet2!$K$53:$K$256, B18)</f>
        <v>0</v>
      </c>
      <c r="E18" s="81"/>
      <c r="H18" s="42"/>
      <c r="I18" s="31"/>
      <c r="K18" s="46"/>
    </row>
    <row r="19" spans="2:11">
      <c r="B19" s="42"/>
      <c r="C19" s="25"/>
      <c r="D19" s="31">
        <f>COUNTIF(Sheet2!$K$53:$K$256, B19)</f>
        <v>0</v>
      </c>
      <c r="E19" s="81"/>
      <c r="H19" s="42"/>
      <c r="I19" s="31"/>
      <c r="K19" s="46"/>
    </row>
    <row r="20" spans="2:11">
      <c r="B20" s="42"/>
      <c r="C20" s="25"/>
      <c r="D20" s="31">
        <f>COUNTIF(Sheet2!$K$53:$K$256, B20)</f>
        <v>0</v>
      </c>
      <c r="E20" s="81"/>
      <c r="H20" s="42"/>
      <c r="I20" s="31"/>
      <c r="K20" s="46"/>
    </row>
    <row r="21" spans="2:11">
      <c r="B21" s="42"/>
      <c r="C21" s="25"/>
      <c r="D21" s="31">
        <f>COUNTIF(Sheet2!$K$53:$K$256, B21)</f>
        <v>0</v>
      </c>
      <c r="E21" s="81"/>
      <c r="H21" s="42"/>
      <c r="I21" s="31"/>
      <c r="K21" s="46"/>
    </row>
    <row r="22" spans="2:11">
      <c r="B22" s="42"/>
      <c r="C22" s="25"/>
      <c r="D22" s="31">
        <f>COUNTIF(Sheet2!$K$53:$K$256, B22)</f>
        <v>0</v>
      </c>
      <c r="E22" s="81"/>
      <c r="H22" s="42"/>
      <c r="I22" s="31"/>
      <c r="K22" s="46"/>
    </row>
    <row r="23" spans="2:11">
      <c r="B23" s="42"/>
      <c r="C23" s="31" t="str">
        <f>IFERROR(_xlfn.XLOOKUP(B23,#REF!,#REF!),"")</f>
        <v/>
      </c>
      <c r="E23" s="82"/>
      <c r="H23" s="42"/>
      <c r="I23" s="31"/>
      <c r="K23" s="46"/>
    </row>
    <row r="24" spans="2:11">
      <c r="B24" s="42"/>
      <c r="C24" s="31" t="str">
        <f>IFERROR(_xlfn.XLOOKUP(B24,#REF!,#REF!),"")</f>
        <v/>
      </c>
      <c r="E24" s="82"/>
      <c r="H24" s="42"/>
      <c r="I24" s="31"/>
      <c r="K24" s="46"/>
    </row>
    <row r="25" spans="2:11">
      <c r="B25" s="42"/>
      <c r="C25" s="31" t="str">
        <f>IFERROR(_xlfn.XLOOKUP(B25,#REF!,#REF!),"")</f>
        <v/>
      </c>
      <c r="E25" s="82"/>
      <c r="H25" s="42"/>
      <c r="I25" s="31"/>
      <c r="K25" s="46"/>
    </row>
    <row r="26" spans="2:11">
      <c r="B26" s="42"/>
      <c r="C26" s="31" t="str">
        <f>IFERROR(_xlfn.XLOOKUP(B26,#REF!,#REF!),"")</f>
        <v/>
      </c>
      <c r="E26" s="82"/>
      <c r="H26" s="42"/>
      <c r="I26" s="31"/>
      <c r="K26" s="46"/>
    </row>
    <row r="27" spans="2:11">
      <c r="B27" s="42"/>
      <c r="C27" s="31" t="str">
        <f>IFERROR(_xlfn.XLOOKUP(B27,#REF!,#REF!),"")</f>
        <v/>
      </c>
      <c r="E27" s="82"/>
      <c r="H27" s="42"/>
      <c r="I27" s="31"/>
      <c r="K27" s="46"/>
    </row>
    <row r="28" spans="2:11">
      <c r="B28" s="42"/>
      <c r="C28" s="31" t="str">
        <f>IFERROR(_xlfn.XLOOKUP(B28,#REF!,#REF!),"")</f>
        <v/>
      </c>
      <c r="E28" s="82"/>
      <c r="H28" s="42"/>
      <c r="I28" s="31"/>
      <c r="K28" s="46"/>
    </row>
    <row r="29" spans="2:11">
      <c r="B29" s="42"/>
      <c r="C29" s="31" t="str">
        <f>IFERROR(_xlfn.XLOOKUP(B29,#REF!,#REF!),"")</f>
        <v/>
      </c>
      <c r="E29" s="82"/>
      <c r="H29" s="42"/>
      <c r="I29" s="31"/>
      <c r="K29" s="46"/>
    </row>
    <row r="30" spans="2:11">
      <c r="B30" s="42"/>
      <c r="C30" s="31" t="str">
        <f>IFERROR(_xlfn.XLOOKUP(B30,#REF!,#REF!),"")</f>
        <v/>
      </c>
      <c r="E30" s="82"/>
      <c r="H30" s="42"/>
      <c r="I30" s="31"/>
      <c r="K30" s="46"/>
    </row>
    <row r="31" spans="2:11">
      <c r="B31" s="42"/>
      <c r="C31" s="31" t="str">
        <f>IFERROR(_xlfn.XLOOKUP(B31,#REF!,#REF!),"")</f>
        <v/>
      </c>
      <c r="E31" s="82"/>
      <c r="H31" s="42"/>
      <c r="I31" s="31"/>
      <c r="K31" s="46"/>
    </row>
    <row r="32" spans="2:11">
      <c r="B32" s="42"/>
      <c r="C32" s="31" t="str">
        <f>IFERROR(_xlfn.XLOOKUP(B32,#REF!,#REF!),"")</f>
        <v/>
      </c>
      <c r="E32" s="82"/>
      <c r="H32" s="42"/>
      <c r="I32" s="31"/>
      <c r="K32" s="46"/>
    </row>
    <row r="33" spans="2:11">
      <c r="B33" s="42"/>
      <c r="C33" s="31" t="str">
        <f>IFERROR(_xlfn.XLOOKUP(B33,#REF!,#REF!),"")</f>
        <v/>
      </c>
      <c r="E33" s="82"/>
      <c r="H33" s="42"/>
      <c r="I33" s="31"/>
      <c r="K33" s="46"/>
    </row>
    <row r="34" spans="2:11">
      <c r="B34" s="42"/>
      <c r="C34" s="31" t="str">
        <f>IFERROR(_xlfn.XLOOKUP(B34,#REF!,#REF!),"")</f>
        <v/>
      </c>
      <c r="E34" s="82"/>
      <c r="H34" s="42"/>
      <c r="I34" s="31"/>
      <c r="K34" s="46"/>
    </row>
    <row r="35" spans="2:11">
      <c r="B35" s="42"/>
      <c r="C35" s="31" t="str">
        <f>IFERROR(_xlfn.XLOOKUP(B35,#REF!,#REF!),"")</f>
        <v/>
      </c>
      <c r="E35" s="82"/>
      <c r="H35" s="42"/>
      <c r="I35" s="31"/>
      <c r="K35" s="46"/>
    </row>
    <row r="36" spans="2:11">
      <c r="B36" s="42"/>
      <c r="C36" s="31" t="str">
        <f>IFERROR(_xlfn.XLOOKUP(B36,#REF!,#REF!),"")</f>
        <v/>
      </c>
      <c r="E36" s="82"/>
      <c r="H36" s="42"/>
      <c r="I36" s="31"/>
      <c r="K36" s="46"/>
    </row>
    <row r="37" spans="2:11">
      <c r="B37" s="42"/>
      <c r="C37" s="31" t="str">
        <f>IFERROR(_xlfn.XLOOKUP(B37,#REF!,#REF!),"")</f>
        <v/>
      </c>
      <c r="E37" s="82"/>
      <c r="H37" s="42"/>
      <c r="I37" s="31"/>
      <c r="K37" s="46"/>
    </row>
    <row r="38" spans="2:11">
      <c r="B38" s="42"/>
      <c r="C38" s="31" t="str">
        <f>IFERROR(_xlfn.XLOOKUP(B38,#REF!,#REF!),"")</f>
        <v/>
      </c>
      <c r="E38" s="82"/>
      <c r="H38" s="42"/>
      <c r="I38" s="31"/>
      <c r="K38" s="46"/>
    </row>
    <row r="39" spans="2:11">
      <c r="B39" s="42"/>
      <c r="C39" s="31" t="str">
        <f>IFERROR(_xlfn.XLOOKUP(B39,#REF!,#REF!),"")</f>
        <v/>
      </c>
      <c r="E39" s="82"/>
      <c r="H39" s="42"/>
      <c r="I39" s="31"/>
      <c r="K39" s="46"/>
    </row>
    <row r="40" spans="2:11">
      <c r="B40" s="42"/>
      <c r="C40" s="31" t="str">
        <f>IFERROR(_xlfn.XLOOKUP(B40,#REF!,#REF!),"")</f>
        <v/>
      </c>
      <c r="E40" s="82"/>
      <c r="H40" s="42"/>
      <c r="I40" s="31"/>
      <c r="K40" s="46"/>
    </row>
    <row r="41" spans="2:11">
      <c r="B41" s="42"/>
      <c r="C41" s="31" t="str">
        <f>IFERROR(_xlfn.XLOOKUP(B41,#REF!,#REF!),"")</f>
        <v/>
      </c>
      <c r="E41" s="82"/>
      <c r="H41" s="42"/>
      <c r="I41" s="31"/>
      <c r="K41" s="46"/>
    </row>
    <row r="42" spans="2:11">
      <c r="B42" s="42"/>
      <c r="C42" s="31" t="str">
        <f>IFERROR(_xlfn.XLOOKUP(B42,#REF!,#REF!),"")</f>
        <v/>
      </c>
      <c r="E42" s="82"/>
      <c r="H42" s="42"/>
      <c r="I42" s="31"/>
      <c r="K42" s="46"/>
    </row>
    <row r="43" spans="2:11">
      <c r="B43" s="42"/>
      <c r="C43" s="31"/>
      <c r="E43" s="82"/>
      <c r="H43" s="42"/>
      <c r="I43" s="31"/>
      <c r="K43" s="46"/>
    </row>
    <row r="44" spans="2:11">
      <c r="B44" s="42"/>
      <c r="C44" s="31"/>
      <c r="E44" s="82"/>
      <c r="H44" s="42"/>
      <c r="I44" s="31"/>
      <c r="K44" s="46"/>
    </row>
    <row r="45" spans="2:11">
      <c r="B45" s="42"/>
      <c r="C45" s="31"/>
      <c r="E45" s="82"/>
      <c r="H45" s="42"/>
      <c r="I45" s="31"/>
      <c r="K45" s="46"/>
    </row>
    <row r="46" spans="2:11">
      <c r="B46" s="42"/>
      <c r="C46" s="31"/>
      <c r="E46" s="82"/>
      <c r="H46" s="42"/>
      <c r="I46" s="31"/>
      <c r="K46" s="46"/>
    </row>
    <row r="47" spans="2:11">
      <c r="B47" s="42"/>
      <c r="C47" s="31"/>
      <c r="E47" s="82"/>
      <c r="H47" s="42"/>
      <c r="I47" s="31"/>
      <c r="K47" s="46"/>
    </row>
    <row r="48" spans="2:11">
      <c r="B48" s="42"/>
      <c r="C48" s="31"/>
      <c r="E48" s="82"/>
      <c r="H48" s="42"/>
      <c r="I48" s="31"/>
      <c r="K48" s="46"/>
    </row>
    <row r="49" spans="2:11">
      <c r="B49" s="42"/>
      <c r="C49" s="31"/>
      <c r="E49" s="82"/>
      <c r="H49" s="42"/>
      <c r="I49" s="31"/>
      <c r="K49" s="46"/>
    </row>
    <row r="50" spans="2:11">
      <c r="B50" s="42"/>
      <c r="C50" s="31"/>
      <c r="E50" s="82"/>
      <c r="H50" s="42"/>
      <c r="I50" s="31"/>
      <c r="K50" s="46"/>
    </row>
    <row r="51" spans="2:11">
      <c r="B51" s="42"/>
      <c r="C51" s="31"/>
      <c r="E51" s="82"/>
      <c r="H51" s="42"/>
      <c r="I51" s="31"/>
      <c r="K51" s="46"/>
    </row>
    <row r="52" spans="2:11">
      <c r="B52" s="43"/>
      <c r="C52" s="32"/>
      <c r="D52" s="44"/>
      <c r="E52" s="83"/>
      <c r="H52" s="43"/>
      <c r="I52" s="32"/>
      <c r="J52" s="44"/>
      <c r="K52" s="47"/>
    </row>
  </sheetData>
  <autoFilter ref="B3:K3" xr:uid="{4B76BDC6-5097-49E8-958A-AC026D8DA48D}"/>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CB81522-42B2-40BF-98FC-36CAFBC1DAE0}">
          <x14:formula1>
            <xm:f>Support!$A$1:$A$4</xm:f>
          </x14:formula1>
          <xm:sqref>I4:I12 C4:C22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D91BF-B56A-4F18-8E1E-74AE64E00C52}">
  <sheetPr>
    <tabColor rgb="FFFFFF66"/>
  </sheetPr>
  <dimension ref="B2:K24"/>
  <sheetViews>
    <sheetView workbookViewId="0">
      <selection activeCell="K4" sqref="K4:K8"/>
    </sheetView>
  </sheetViews>
  <sheetFormatPr defaultRowHeight="14.4"/>
  <cols>
    <col min="2" max="2" width="59.5546875" customWidth="1"/>
    <col min="3" max="3" width="22.88671875" customWidth="1"/>
    <col min="4" max="4" width="20.6640625" customWidth="1"/>
    <col min="5" max="5" width="18.88671875" style="9" customWidth="1"/>
    <col min="8" max="8" width="37.6640625" customWidth="1"/>
    <col min="9" max="9" width="26.33203125" customWidth="1"/>
    <col min="10" max="10" width="21.5546875" customWidth="1"/>
    <col min="11" max="11" width="23.6640625" customWidth="1"/>
  </cols>
  <sheetData>
    <row r="2" spans="2:11">
      <c r="B2" s="55" t="s">
        <v>774</v>
      </c>
      <c r="C2" s="21"/>
      <c r="D2" s="30"/>
      <c r="E2" s="84"/>
      <c r="H2" s="55" t="s">
        <v>763</v>
      </c>
      <c r="I2" s="21"/>
      <c r="J2" s="30"/>
      <c r="K2" s="22"/>
    </row>
    <row r="3" spans="2:11" ht="29.4" customHeight="1">
      <c r="B3" s="54" t="s">
        <v>775</v>
      </c>
      <c r="C3" s="34" t="s">
        <v>760</v>
      </c>
      <c r="D3" s="73" t="s">
        <v>788</v>
      </c>
      <c r="E3" s="85" t="s">
        <v>761</v>
      </c>
      <c r="H3" s="54" t="s">
        <v>775</v>
      </c>
      <c r="I3" s="34" t="s">
        <v>760</v>
      </c>
      <c r="J3" s="73" t="s">
        <v>788</v>
      </c>
      <c r="K3" s="24" t="s">
        <v>761</v>
      </c>
    </row>
    <row r="4" spans="2:11">
      <c r="B4" s="42" t="str" cm="1">
        <f t="array" ref="B4">_xlfn.UNIQUE(_xlfn._xlws.FILTER(Sheet2!$K$311:$K$315, Sheet2!$K$311:$K$315&lt;&gt;""))</f>
        <v>Interview Legal dept</v>
      </c>
      <c r="C4" s="27"/>
      <c r="D4" s="30">
        <f>COUNTIF(Sheet2!$K$311:$K$315, B4)</f>
        <v>1</v>
      </c>
      <c r="E4" s="75"/>
      <c r="H4" s="42" t="str" cm="1">
        <f t="array" ref="H4:H5">_xlfn.UNIQUE(_xlfn._xlws.FILTER(Sheet2!$K$395:$K$412, Sheet2!$K$395:$K$412&lt;&gt;""))</f>
        <v>Balance/economics</v>
      </c>
      <c r="I4" s="27"/>
      <c r="J4" s="31">
        <f>COUNTIF(Sheet2!$K$395:$K$412, H4)</f>
        <v>6</v>
      </c>
      <c r="K4" s="75"/>
    </row>
    <row r="5" spans="2:11">
      <c r="B5" s="27"/>
      <c r="C5" s="27"/>
      <c r="D5" s="31"/>
      <c r="E5" s="75"/>
      <c r="H5" s="27" t="str">
        <v>HR Reporting</v>
      </c>
      <c r="I5" s="27"/>
      <c r="J5" s="31">
        <f>COUNTIF(Sheet2!$K$395:$K$412, H5)</f>
        <v>1</v>
      </c>
      <c r="K5" s="75"/>
    </row>
    <row r="6" spans="2:11">
      <c r="B6" s="27"/>
      <c r="C6" s="31" t="str">
        <f>IFERROR(_xlfn.XLOOKUP(B6,#REF!,#REF!),"")</f>
        <v/>
      </c>
      <c r="D6" s="26"/>
      <c r="E6" s="75"/>
      <c r="H6" s="27"/>
      <c r="I6" s="27"/>
      <c r="J6" s="31"/>
      <c r="K6" s="75"/>
    </row>
    <row r="7" spans="2:11">
      <c r="B7" s="27"/>
      <c r="C7" s="27"/>
      <c r="D7" s="31"/>
      <c r="E7" s="75"/>
      <c r="H7" s="27"/>
      <c r="I7" s="27"/>
      <c r="J7" s="31"/>
      <c r="K7" s="26"/>
    </row>
    <row r="8" spans="2:11">
      <c r="B8" s="27"/>
      <c r="C8" s="31"/>
      <c r="D8" s="31"/>
      <c r="E8" s="75"/>
      <c r="H8" s="27"/>
      <c r="I8" s="31"/>
      <c r="J8" s="26"/>
      <c r="K8" s="26"/>
    </row>
    <row r="9" spans="2:11">
      <c r="B9" s="27"/>
      <c r="C9" s="31"/>
      <c r="D9" s="31"/>
      <c r="E9" s="75"/>
      <c r="H9" s="27"/>
      <c r="I9" s="27"/>
      <c r="J9" s="31"/>
      <c r="K9" s="26"/>
    </row>
    <row r="10" spans="2:11">
      <c r="B10" s="27"/>
      <c r="C10" s="31"/>
      <c r="D10" s="31"/>
      <c r="E10" s="75"/>
      <c r="H10" s="27"/>
      <c r="I10" s="27"/>
      <c r="J10" s="31"/>
      <c r="K10" s="26"/>
    </row>
    <row r="11" spans="2:11">
      <c r="B11" s="27"/>
      <c r="C11" s="31"/>
      <c r="D11" s="31"/>
      <c r="E11" s="75"/>
      <c r="H11" s="27"/>
      <c r="I11" s="31"/>
      <c r="J11" s="31"/>
      <c r="K11" s="26"/>
    </row>
    <row r="12" spans="2:11">
      <c r="B12" s="27"/>
      <c r="C12" s="31"/>
      <c r="D12" s="31"/>
      <c r="E12" s="75"/>
      <c r="H12" s="27"/>
      <c r="I12" s="31"/>
      <c r="J12" s="31"/>
      <c r="K12" s="26"/>
    </row>
    <row r="13" spans="2:11">
      <c r="B13" s="27"/>
      <c r="C13" s="31"/>
      <c r="D13" s="31"/>
      <c r="E13" s="75"/>
      <c r="H13" s="27"/>
      <c r="I13" s="31"/>
      <c r="J13" s="31"/>
      <c r="K13" s="26"/>
    </row>
    <row r="14" spans="2:11">
      <c r="B14" s="27"/>
      <c r="C14" s="31"/>
      <c r="D14" s="31"/>
      <c r="E14" s="75"/>
      <c r="H14" s="27"/>
      <c r="I14" s="31"/>
      <c r="J14" s="31"/>
      <c r="K14" s="26"/>
    </row>
    <row r="15" spans="2:11">
      <c r="B15" s="27"/>
      <c r="C15" s="31"/>
      <c r="D15" s="31"/>
      <c r="E15" s="75"/>
      <c r="H15" s="27"/>
      <c r="I15" s="31"/>
      <c r="J15" s="31"/>
      <c r="K15" s="26"/>
    </row>
    <row r="16" spans="2:11">
      <c r="B16" s="27"/>
      <c r="C16" s="31"/>
      <c r="D16" s="31"/>
      <c r="E16" s="75"/>
      <c r="H16" s="27"/>
      <c r="I16" s="31"/>
      <c r="J16" s="31"/>
      <c r="K16" s="26"/>
    </row>
    <row r="17" spans="2:11">
      <c r="B17" s="27"/>
      <c r="C17" s="31"/>
      <c r="D17" s="31"/>
      <c r="E17" s="75"/>
      <c r="H17" s="27"/>
      <c r="I17" s="31"/>
      <c r="J17" s="31"/>
      <c r="K17" s="26"/>
    </row>
    <row r="18" spans="2:11">
      <c r="B18" s="27"/>
      <c r="C18" s="31"/>
      <c r="D18" s="31"/>
      <c r="E18" s="75"/>
      <c r="H18" s="27"/>
      <c r="I18" s="31"/>
      <c r="J18" s="31"/>
      <c r="K18" s="26"/>
    </row>
    <row r="19" spans="2:11">
      <c r="B19" s="27"/>
      <c r="C19" s="31"/>
      <c r="D19" s="31"/>
      <c r="E19" s="75"/>
      <c r="H19" s="27"/>
      <c r="I19" s="31"/>
      <c r="J19" s="31"/>
      <c r="K19" s="26"/>
    </row>
    <row r="20" spans="2:11">
      <c r="B20" s="27"/>
      <c r="C20" s="31"/>
      <c r="D20" s="31"/>
      <c r="E20" s="75"/>
      <c r="H20" s="27"/>
      <c r="I20" s="31"/>
      <c r="J20" s="31"/>
      <c r="K20" s="26"/>
    </row>
    <row r="21" spans="2:11">
      <c r="B21" s="27"/>
      <c r="C21" s="31"/>
      <c r="D21" s="31"/>
      <c r="E21" s="75"/>
      <c r="H21" s="27"/>
      <c r="I21" s="31"/>
      <c r="J21" s="31"/>
      <c r="K21" s="26"/>
    </row>
    <row r="22" spans="2:11">
      <c r="B22" s="27"/>
      <c r="C22" s="31"/>
      <c r="D22" s="31"/>
      <c r="E22" s="75"/>
      <c r="H22" s="27"/>
      <c r="I22" s="31"/>
      <c r="J22" s="31"/>
      <c r="K22" s="26"/>
    </row>
    <row r="23" spans="2:11">
      <c r="B23" s="27"/>
      <c r="C23" s="31"/>
      <c r="D23" s="31"/>
      <c r="E23" s="75"/>
      <c r="H23" s="27"/>
      <c r="I23" s="31"/>
      <c r="J23" s="31"/>
      <c r="K23" s="26"/>
    </row>
    <row r="24" spans="2:11">
      <c r="B24" s="28"/>
      <c r="C24" s="32"/>
      <c r="D24" s="32"/>
      <c r="E24" s="86"/>
      <c r="H24" s="28"/>
      <c r="I24" s="32"/>
      <c r="J24" s="32"/>
      <c r="K24" s="29"/>
    </row>
  </sheetData>
  <autoFilter ref="B3:K3" xr:uid="{C73D91BF-B56A-4F18-8E1E-74AE64E00C52}"/>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197E713-56EA-40AA-A23B-2766F0B3DF76}">
          <x14:formula1>
            <xm:f>Support!$A$1:$A$4</xm:f>
          </x14:formula1>
          <xm:sqref>C4:C5 I4:I7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C4A52-0956-4306-9BB9-8118F0618918}">
  <sheetPr>
    <tabColor theme="9" tint="0.39997558519241921"/>
  </sheetPr>
  <dimension ref="B2:K15"/>
  <sheetViews>
    <sheetView workbookViewId="0">
      <selection activeCell="C4" sqref="C4:C8"/>
    </sheetView>
  </sheetViews>
  <sheetFormatPr defaultRowHeight="14.4"/>
  <cols>
    <col min="2" max="2" width="30" customWidth="1"/>
    <col min="3" max="3" width="19.77734375" customWidth="1"/>
    <col min="4" max="4" width="25" customWidth="1"/>
    <col min="5" max="5" width="21.21875" customWidth="1"/>
    <col min="8" max="8" width="34" customWidth="1"/>
    <col min="9" max="9" width="17.5546875" customWidth="1"/>
    <col min="10" max="10" width="20.88671875" customWidth="1"/>
    <col min="11" max="11" width="23.109375" customWidth="1"/>
  </cols>
  <sheetData>
    <row r="2" spans="2:11">
      <c r="B2" s="56" t="s">
        <v>762</v>
      </c>
      <c r="C2" s="30"/>
      <c r="D2" s="30"/>
      <c r="E2" s="22"/>
      <c r="H2" s="52" t="s">
        <v>763</v>
      </c>
      <c r="I2" s="22"/>
      <c r="J2" s="30"/>
      <c r="K2" s="22"/>
    </row>
    <row r="3" spans="2:11" ht="18">
      <c r="B3" s="53" t="s">
        <v>773</v>
      </c>
      <c r="C3" s="34" t="s">
        <v>760</v>
      </c>
      <c r="D3" s="73" t="s">
        <v>788</v>
      </c>
      <c r="E3" s="24" t="s">
        <v>761</v>
      </c>
      <c r="H3" s="53" t="s">
        <v>773</v>
      </c>
      <c r="I3" s="34" t="s">
        <v>760</v>
      </c>
      <c r="J3" s="73" t="s">
        <v>788</v>
      </c>
      <c r="K3" s="24" t="s">
        <v>761</v>
      </c>
    </row>
    <row r="4" spans="2:11">
      <c r="B4" s="42" t="str" cm="1">
        <f t="array" ref="B4:B6">_xlfn.UNIQUE(_xlfn._xlws.FILTER(Sheet2!$K$257:$K$310, Sheet2!$K$257:$K$310&lt;&gt;""))</f>
        <v>HR REPORTING</v>
      </c>
      <c r="C4" s="27"/>
      <c r="D4" s="30">
        <f>COUNTIF(Sheet2!$K$257:$K$310, B4)</f>
        <v>7</v>
      </c>
      <c r="E4" s="22"/>
      <c r="H4" s="42" t="str" cm="1">
        <f t="array" ref="H4:H7">_xlfn.UNIQUE(_xlfn._xlws.FILTER(Sheet2!$K$366:$K$394, Sheet2!$K$366:$K$394&lt;&gt;""))</f>
        <v>HR REPORTING</v>
      </c>
      <c r="I4" s="27"/>
      <c r="J4" s="30">
        <f>COUNTIF(Sheet2!$K$366:$K$394, H4)</f>
        <v>2</v>
      </c>
      <c r="K4" s="22"/>
    </row>
    <row r="5" spans="2:11">
      <c r="B5" s="27" t="str">
        <v>HSE REPORTING</v>
      </c>
      <c r="C5" s="27"/>
      <c r="D5" s="31">
        <f>COUNTIF(Sheet2!$K$257:$K$310, B5)</f>
        <v>3</v>
      </c>
      <c r="E5" s="26"/>
      <c r="H5" s="27" t="str">
        <v>Code of Conduct</v>
      </c>
      <c r="I5" s="27"/>
      <c r="J5" s="31">
        <f>COUNTIF(Sheet2!$K$366:$K$394, H5)</f>
        <v>9</v>
      </c>
      <c r="K5" s="26"/>
    </row>
    <row r="6" spans="2:11">
      <c r="B6" s="27" t="str">
        <v>Interview HR dept/ Contracts</v>
      </c>
      <c r="C6" s="27"/>
      <c r="D6" s="31">
        <f>COUNTIF(Sheet2!$K$257:$K$310, B6)</f>
        <v>2</v>
      </c>
      <c r="E6" s="26"/>
      <c r="H6" s="27" t="str">
        <v>Whistleblowing</v>
      </c>
      <c r="I6" s="27"/>
      <c r="J6" s="31">
        <f>COUNTIF(Sheet2!$K$366:$K$394, H6)</f>
        <v>1</v>
      </c>
      <c r="K6" s="26"/>
    </row>
    <row r="7" spans="2:11">
      <c r="B7" s="27"/>
      <c r="C7" s="27"/>
      <c r="D7" s="31"/>
      <c r="E7" s="26"/>
      <c r="H7" s="27" t="str">
        <v>Interview HR dept OR Legal dept</v>
      </c>
      <c r="I7" s="27"/>
      <c r="J7" s="31">
        <f>COUNTIF(Sheet2!$K$366:$K$394, H7)</f>
        <v>8</v>
      </c>
      <c r="K7" s="26"/>
    </row>
    <row r="8" spans="2:11">
      <c r="B8" s="27"/>
      <c r="C8" s="27"/>
      <c r="D8" s="31"/>
      <c r="E8" s="26"/>
      <c r="H8" s="27"/>
      <c r="I8" s="27"/>
      <c r="J8" s="31"/>
      <c r="K8" s="26"/>
    </row>
    <row r="9" spans="2:11">
      <c r="B9" s="27"/>
      <c r="C9" s="27"/>
      <c r="D9" s="31"/>
      <c r="E9" s="26"/>
      <c r="H9" s="27"/>
      <c r="I9" s="27"/>
      <c r="J9" s="31"/>
      <c r="K9" s="26"/>
    </row>
    <row r="10" spans="2:11">
      <c r="B10" s="27"/>
      <c r="C10" s="27" t="str">
        <f>IFERROR(_xlfn.XLOOKUP(B10,#REF!,#REF!),"")</f>
        <v/>
      </c>
      <c r="D10" s="31"/>
      <c r="E10" s="26"/>
      <c r="H10" s="27"/>
      <c r="I10" s="31"/>
      <c r="J10" s="26"/>
      <c r="K10" s="26"/>
    </row>
    <row r="11" spans="2:11">
      <c r="B11" s="27"/>
      <c r="C11" s="31"/>
      <c r="D11" s="31"/>
      <c r="E11" s="26"/>
      <c r="H11" s="27"/>
      <c r="I11" s="31" t="str">
        <f>IFERROR(_xlfn.XLOOKUP(H11,#REF!,#REF!),"")</f>
        <v/>
      </c>
      <c r="J11" s="26"/>
      <c r="K11" s="26"/>
    </row>
    <row r="12" spans="2:11">
      <c r="B12" s="27"/>
      <c r="C12" s="31"/>
      <c r="D12" s="31"/>
      <c r="E12" s="26"/>
      <c r="H12" s="27"/>
      <c r="I12" s="31" t="str">
        <f>IFERROR(_xlfn.XLOOKUP(H12,#REF!,#REF!),"")</f>
        <v/>
      </c>
      <c r="J12" s="26"/>
      <c r="K12" s="26"/>
    </row>
    <row r="13" spans="2:11">
      <c r="B13" s="27"/>
      <c r="C13" s="31"/>
      <c r="D13" s="31"/>
      <c r="E13" s="26"/>
      <c r="H13" s="27"/>
      <c r="I13" s="31" t="str">
        <f>IFERROR(_xlfn.XLOOKUP(H13,#REF!,#REF!),"")</f>
        <v/>
      </c>
      <c r="J13" s="26"/>
      <c r="K13" s="26"/>
    </row>
    <row r="14" spans="2:11">
      <c r="B14" s="27"/>
      <c r="C14" s="31"/>
      <c r="D14" s="31"/>
      <c r="E14" s="26"/>
      <c r="H14" s="27"/>
      <c r="I14" s="31" t="str">
        <f>IFERROR(_xlfn.XLOOKUP(H14,#REF!,#REF!),"")</f>
        <v/>
      </c>
      <c r="J14" s="26"/>
      <c r="K14" s="26"/>
    </row>
    <row r="15" spans="2:11">
      <c r="B15" s="28"/>
      <c r="C15" s="32"/>
      <c r="D15" s="32"/>
      <c r="E15" s="29"/>
      <c r="H15" s="28"/>
      <c r="I15" s="28"/>
      <c r="J15" s="32"/>
      <c r="K15" s="29"/>
    </row>
  </sheetData>
  <autoFilter ref="B3:K3" xr:uid="{15BC4A52-0956-4306-9BB9-8118F0618918}"/>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9240D9A-4426-4260-86A6-E59A6C7A14B3}">
          <x14:formula1>
            <xm:f>Support!$A$1:$A$4</xm:f>
          </x14:formula1>
          <xm:sqref>C4:C9 I4:I9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7FCC4-E214-4F26-A7A7-15255EC53EB6}">
  <sheetPr>
    <tabColor theme="0" tint="-0.249977111117893"/>
  </sheetPr>
  <dimension ref="B2:H52"/>
  <sheetViews>
    <sheetView zoomScale="81" zoomScaleNormal="100" workbookViewId="0">
      <selection activeCell="Z74" sqref="Z74"/>
    </sheetView>
  </sheetViews>
  <sheetFormatPr defaultRowHeight="14.4"/>
  <cols>
    <col min="2" max="2" width="35.44140625" customWidth="1"/>
    <col min="3" max="3" width="17.109375" customWidth="1"/>
    <col min="4" max="4" width="31.109375" customWidth="1"/>
    <col min="5" max="5" width="15.33203125" customWidth="1"/>
    <col min="6" max="6" width="21.21875" customWidth="1"/>
    <col min="7" max="7" width="21.88671875" customWidth="1"/>
    <col min="8" max="8" width="12.21875" customWidth="1"/>
    <col min="9" max="9" width="17.77734375" customWidth="1"/>
  </cols>
  <sheetData>
    <row r="2" spans="2:8" ht="28.2" customHeight="1" thickBot="1">
      <c r="B2" s="58" t="s">
        <v>776</v>
      </c>
      <c r="C2" s="59" t="s">
        <v>754</v>
      </c>
      <c r="D2" s="59" t="s">
        <v>755</v>
      </c>
      <c r="E2" s="59" t="s">
        <v>757</v>
      </c>
      <c r="F2" s="59" t="s">
        <v>785</v>
      </c>
      <c r="G2" s="59" t="s">
        <v>786</v>
      </c>
      <c r="H2" s="59" t="s">
        <v>810</v>
      </c>
    </row>
    <row r="3" spans="2:8" ht="29.4" customHeight="1" thickTop="1" thickBot="1">
      <c r="B3" s="60" t="s">
        <v>777</v>
      </c>
      <c r="C3" s="61">
        <f>SUMIF(Checklist_General_Information!$C$4:$C$100,"Yes",Checklist_General_Information!$D$4:$D$100)</f>
        <v>0</v>
      </c>
      <c r="D3" s="61">
        <f>SUMIF(Checklist_General_Information!$C$4:$C$100,"Yes, but integration needed",Checklist_General_Information!$D$4:$D$100)</f>
        <v>0</v>
      </c>
      <c r="E3" s="61">
        <f>SUMIF(Checklist_General_Information!$C$4:$C$100,"No",Checklist_General_Information!$D$4:$D$100)</f>
        <v>0</v>
      </c>
      <c r="F3" s="61">
        <f>SUMIF(Checklist_General_Information!$C$4:$C$100,"No, but planned",Checklist_General_Information!$D$4:$D$100)</f>
        <v>0</v>
      </c>
      <c r="G3" s="61">
        <f t="shared" ref="G3:G10" si="0">SUM(C3:F3)</f>
        <v>0</v>
      </c>
      <c r="H3" s="88" t="e">
        <f>G3/$G$11</f>
        <v>#DIV/0!</v>
      </c>
    </row>
    <row r="4" spans="2:8" ht="31.2" customHeight="1" thickTop="1" thickBot="1">
      <c r="B4" s="62" t="s">
        <v>778</v>
      </c>
      <c r="C4" s="61">
        <f>SUMIF(Checklist_General_Information!$I$4:$I$100,"Yes",Checklist_General_Information!$J$4:$J$100)</f>
        <v>0</v>
      </c>
      <c r="D4" s="61">
        <f>SUMIF(Checklist_General_Information!$I$4:$I$100,"Yes, but integration needed",Checklist_General_Information!$J$4:$J$100)</f>
        <v>0</v>
      </c>
      <c r="E4" s="61">
        <f>SUMIF(Checklist_General_Information!$I$4:$I$100,"No",Checklist_General_Information!$J$4:$J$100)</f>
        <v>0</v>
      </c>
      <c r="F4" s="61">
        <f>SUMIF(Checklist_General_Information!$I$4:$I$100,"No, but planned",Checklist_General_Information!$J$4:$J$100)</f>
        <v>0</v>
      </c>
      <c r="G4" s="61">
        <f t="shared" si="0"/>
        <v>0</v>
      </c>
      <c r="H4" s="88" t="e">
        <f t="shared" ref="H4:H11" si="1">G4/$G$11</f>
        <v>#DIV/0!</v>
      </c>
    </row>
    <row r="5" spans="2:8" ht="28.2" customHeight="1" thickTop="1" thickBot="1">
      <c r="B5" s="62" t="s">
        <v>779</v>
      </c>
      <c r="C5" s="61">
        <f>SUMIF(Checklist_Environment!$C$4:$C$100,"Yes",Checklist_Environment!$D$4:$D$100)</f>
        <v>0</v>
      </c>
      <c r="D5" s="61">
        <f>SUMIF(Checklist_Environment!$C$4:$C$100,"Yes, but integration needed",Checklist_Environment!$D$4:$D$100)</f>
        <v>0</v>
      </c>
      <c r="E5" s="61">
        <f>SUMIF(Checklist_Environment!$C$4:$C$100,"No",Checklist_Environment!$D$4:$D$100)</f>
        <v>0</v>
      </c>
      <c r="F5" s="61">
        <f>SUMIF(Checklist_Environment!$C$4:$C$100,"No, but planned",Checklist_Environment!$D$4:$D$100)</f>
        <v>0</v>
      </c>
      <c r="G5" s="61">
        <f t="shared" si="0"/>
        <v>0</v>
      </c>
      <c r="H5" s="88" t="e">
        <f t="shared" si="1"/>
        <v>#DIV/0!</v>
      </c>
    </row>
    <row r="6" spans="2:8" ht="29.4" customHeight="1" thickTop="1" thickBot="1">
      <c r="B6" s="62" t="s">
        <v>780</v>
      </c>
      <c r="C6" s="61">
        <f>SUMIF(Checklist_Environment!$I$4:$I$100,"Yes",Checklist_Environment!$J$4:$J$100)</f>
        <v>0</v>
      </c>
      <c r="D6" s="61">
        <f>SUMIF(Checklist_Environment!$I$4:$I$100,"Yes, but integration needed",Checklist_Environment!$J$4:$J$100)</f>
        <v>0</v>
      </c>
      <c r="E6" s="61">
        <f>SUMIF(Checklist_Environment!$I$4:$I$100,"No",Checklist_Environment!$J$4:$J$100)</f>
        <v>0</v>
      </c>
      <c r="F6" s="61">
        <f>SUMIF(Checklist_Environment!$I$4:$I$100,"No, but planned",Checklist_Environment!$J$4:$J$100)</f>
        <v>0</v>
      </c>
      <c r="G6" s="61">
        <f t="shared" si="0"/>
        <v>0</v>
      </c>
      <c r="H6" s="88" t="e">
        <f t="shared" si="1"/>
        <v>#DIV/0!</v>
      </c>
    </row>
    <row r="7" spans="2:8" ht="34.200000000000003" customHeight="1" thickTop="1" thickBot="1">
      <c r="B7" s="62" t="s">
        <v>781</v>
      </c>
      <c r="C7" s="61">
        <f>SUMIF(Checklist_Social!$C$4:$C$100,"Yes",Checklist_Social!$D$4:$D$100)</f>
        <v>0</v>
      </c>
      <c r="D7" s="61">
        <f>SUMIF(Checklist_Social!$C$4:$C$100,"Yes, but integration needed",Checklist_Social!$D$4:$D$100)</f>
        <v>0</v>
      </c>
      <c r="E7" s="61">
        <f>SUMIF(Checklist_Social!$C$4:$C$100,"No",Checklist_Social!$D$4:$D$100)</f>
        <v>0</v>
      </c>
      <c r="F7" s="61">
        <f>SUMIF(Checklist_Social!$C$4:$C$100,"No, but planned",Checklist_Social!$D$4:$D$100)</f>
        <v>0</v>
      </c>
      <c r="G7" s="61">
        <f t="shared" si="0"/>
        <v>0</v>
      </c>
      <c r="H7" s="88" t="e">
        <f t="shared" si="1"/>
        <v>#DIV/0!</v>
      </c>
    </row>
    <row r="8" spans="2:8" ht="32.4" customHeight="1" thickTop="1" thickBot="1">
      <c r="B8" s="62" t="s">
        <v>782</v>
      </c>
      <c r="C8" s="61">
        <f>SUMIF(Checklist_Social!$I$4:$I$100,"Yes",Checklist_Social!$J$4:$J$100)</f>
        <v>0</v>
      </c>
      <c r="D8" s="61">
        <f>SUMIF(Checklist_Social!$I$4:$I$100,"Yes, but integration needed",Checklist_Social!$J$4:$J$100)</f>
        <v>0</v>
      </c>
      <c r="E8" s="61">
        <f>SUMIF(Checklist_Social!$I$4:$I$100,"No",Checklist_Social!$J$4:$J$100)</f>
        <v>0</v>
      </c>
      <c r="F8" s="61">
        <f>SUMIF(Checklist_Social!$I$4:$I$100,"No, but planned",Checklist_Social!$J$4:$J$100)</f>
        <v>0</v>
      </c>
      <c r="G8" s="61">
        <f t="shared" si="0"/>
        <v>0</v>
      </c>
      <c r="H8" s="88" t="e">
        <f t="shared" si="1"/>
        <v>#DIV/0!</v>
      </c>
    </row>
    <row r="9" spans="2:8" ht="30" customHeight="1" thickTop="1" thickBot="1">
      <c r="B9" s="62" t="s">
        <v>783</v>
      </c>
      <c r="C9" s="61">
        <f>SUMIF(Checklist_Governance!$C$4:$C$100,"Yes",Checklist_Governance!$D$4:$D$100)</f>
        <v>0</v>
      </c>
      <c r="D9" s="61">
        <f>SUMIF(Checklist_Governance!$C$4:$C$100,"Yes, but integration needed",Checklist_Governance!$D$4:$D$100)</f>
        <v>0</v>
      </c>
      <c r="E9" s="61">
        <f>SUMIF(Checklist_Governance!$C$4:$C$100,"No",Checklist_Governance!$D$4:$D$100)</f>
        <v>0</v>
      </c>
      <c r="F9" s="61">
        <f>SUMIF(Checklist_Governance!$C$4:$C$100,"No, but planned",Checklist_Governance!$D$4:$D$100)</f>
        <v>0</v>
      </c>
      <c r="G9" s="61">
        <f t="shared" si="0"/>
        <v>0</v>
      </c>
      <c r="H9" s="88" t="e">
        <f t="shared" si="1"/>
        <v>#DIV/0!</v>
      </c>
    </row>
    <row r="10" spans="2:8" ht="31.8" customHeight="1" thickTop="1">
      <c r="B10" s="62" t="s">
        <v>784</v>
      </c>
      <c r="C10" s="61">
        <f>SUMIF(Checklist_Governance!$I$4:$I$100,"Yes",Checklist_Governance!$J$4:$J$100)</f>
        <v>0</v>
      </c>
      <c r="D10" s="61">
        <f>SUMIF(Checklist_Governance!$I$4:$I$100,"Yes, but integraion needed",Checklist_Governance!$J$4:$J$100)</f>
        <v>0</v>
      </c>
      <c r="E10" s="61">
        <f>SUMIF(Checklist_Governance!$I$4:$I$100,"No",Checklist_Governance!$J$4:$J$100)</f>
        <v>0</v>
      </c>
      <c r="F10" s="61">
        <f>SUMIF(Checklist_Governance!$I$4:$I$100,"No, but planned",Checklist_Governance!$J$4:$J$100)</f>
        <v>0</v>
      </c>
      <c r="G10" s="61">
        <f t="shared" si="0"/>
        <v>0</v>
      </c>
      <c r="H10" s="88" t="e">
        <f t="shared" si="1"/>
        <v>#DIV/0!</v>
      </c>
    </row>
    <row r="11" spans="2:8" ht="34.200000000000003" customHeight="1">
      <c r="B11" s="63" t="s">
        <v>786</v>
      </c>
      <c r="C11" s="57">
        <f>SUM(C3:C10)</f>
        <v>0</v>
      </c>
      <c r="D11" s="57">
        <f t="shared" ref="D11:F11" si="2">SUM(D3:D10)</f>
        <v>0</v>
      </c>
      <c r="E11" s="57">
        <f t="shared" si="2"/>
        <v>0</v>
      </c>
      <c r="F11" s="57">
        <f t="shared" si="2"/>
        <v>0</v>
      </c>
      <c r="G11" s="57">
        <f>SUM(G3:G10)</f>
        <v>0</v>
      </c>
      <c r="H11" s="88" t="e">
        <f t="shared" si="1"/>
        <v>#DIV/0!</v>
      </c>
    </row>
    <row r="12" spans="2:8">
      <c r="B12" s="87" t="s">
        <v>810</v>
      </c>
      <c r="C12" s="88" t="e">
        <f>C11/$G$11</f>
        <v>#DIV/0!</v>
      </c>
      <c r="D12" s="88" t="e">
        <f t="shared" ref="D12:G12" si="3">D11/$G$11</f>
        <v>#DIV/0!</v>
      </c>
      <c r="E12" s="88" t="e">
        <f t="shared" si="3"/>
        <v>#DIV/0!</v>
      </c>
      <c r="F12" s="88" t="e">
        <f t="shared" si="3"/>
        <v>#DIV/0!</v>
      </c>
      <c r="G12" s="88" t="e">
        <f t="shared" si="3"/>
        <v>#DIV/0!</v>
      </c>
    </row>
    <row r="15" spans="2:8" ht="15" thickBot="1">
      <c r="B15" s="58" t="s">
        <v>811</v>
      </c>
      <c r="C15" s="59" t="s">
        <v>754</v>
      </c>
      <c r="D15" s="59" t="s">
        <v>755</v>
      </c>
      <c r="E15" s="59" t="s">
        <v>757</v>
      </c>
      <c r="F15" s="59" t="s">
        <v>785</v>
      </c>
      <c r="G15" s="59" t="s">
        <v>786</v>
      </c>
      <c r="H15" s="59" t="s">
        <v>810</v>
      </c>
    </row>
    <row r="16" spans="2:8" ht="15.6" thickTop="1" thickBot="1">
      <c r="B16" s="60" t="s">
        <v>777</v>
      </c>
      <c r="C16" s="61">
        <f>SUMIF(Checklist_General_Information!$C$4:$C$100,"Yes",Checklist_General_Information!$D$4:$D$100)</f>
        <v>0</v>
      </c>
      <c r="D16" s="61">
        <f>SUMIF(Checklist_General_Information!$C$4:$C$100,"Yes, but integration needed",Checklist_General_Information!$D$4:$D$100)</f>
        <v>0</v>
      </c>
      <c r="E16" s="61">
        <f>SUMIF(Checklist_General_Information!$C$4:$C$100,"No",Checklist_General_Information!$D$4:$D$100)</f>
        <v>0</v>
      </c>
      <c r="F16" s="61">
        <f>SUMIF(Checklist_General_Information!$C$4:$C$100,"No, but planned",Checklist_General_Information!$D$4:$D$100)</f>
        <v>0</v>
      </c>
      <c r="G16" s="61">
        <f>SUM(C16:F16)</f>
        <v>0</v>
      </c>
      <c r="H16" s="88" t="e">
        <f>G16/$G$11</f>
        <v>#DIV/0!</v>
      </c>
    </row>
    <row r="17" spans="2:8" ht="15.6" thickTop="1" thickBot="1">
      <c r="B17" s="62" t="s">
        <v>779</v>
      </c>
      <c r="C17" s="61">
        <f>SUMIF(Checklist_Environment!$C$4:$C$100,"Yes",Checklist_Environment!$D$4:$D$100)</f>
        <v>0</v>
      </c>
      <c r="D17" s="61">
        <f>SUMIF(Checklist_Environment!$C$4:$C$100,"Yes, but integration needed",Checklist_Environment!$D$4:$D$100)</f>
        <v>0</v>
      </c>
      <c r="E17" s="61">
        <f>SUMIF(Checklist_Environment!$C$4:$C$100,"No",Checklist_Environment!$D$4:$D$100)</f>
        <v>0</v>
      </c>
      <c r="F17" s="61">
        <f>SUMIF(Checklist_Environment!$C$4:$C$100,"No, but planned",Checklist_Environment!$D$4:$D$100)</f>
        <v>0</v>
      </c>
      <c r="G17" s="61">
        <f>SUM(C17:F17)</f>
        <v>0</v>
      </c>
      <c r="H17" s="88" t="e">
        <f t="shared" ref="H17:H19" si="4">G17/$G$11</f>
        <v>#DIV/0!</v>
      </c>
    </row>
    <row r="18" spans="2:8" ht="15.6" thickTop="1" thickBot="1">
      <c r="B18" s="62" t="s">
        <v>781</v>
      </c>
      <c r="C18" s="61">
        <f>SUMIF(Checklist_Social!$C$4:$C$100,"Yes",Checklist_Social!$D$4:$D$100)</f>
        <v>0</v>
      </c>
      <c r="D18" s="61">
        <f>SUMIF(Checklist_Social!$C$4:$C$100,"Yes, but integration needed",Checklist_Social!$D$4:$D$100)</f>
        <v>0</v>
      </c>
      <c r="E18" s="61">
        <f>SUMIF(Checklist_Social!$C$4:$C$100,"No",Checklist_Social!$D$4:$D$100)</f>
        <v>0</v>
      </c>
      <c r="F18" s="61">
        <f>SUMIF(Checklist_Social!$C$4:$C$100,"No, but planned",Checklist_Social!$D$4:$D$100)</f>
        <v>0</v>
      </c>
      <c r="G18" s="61">
        <f>SUM(C18:F18)</f>
        <v>0</v>
      </c>
      <c r="H18" s="88" t="e">
        <f t="shared" si="4"/>
        <v>#DIV/0!</v>
      </c>
    </row>
    <row r="19" spans="2:8" ht="15" thickTop="1">
      <c r="B19" s="62" t="s">
        <v>783</v>
      </c>
      <c r="C19" s="61">
        <f>SUMIF(Checklist_Governance!$C$4:$C$100,"Yes",Checklist_Governance!$D$4:$D$100)</f>
        <v>0</v>
      </c>
      <c r="D19" s="61">
        <f>SUMIF(Checklist_Governance!$C$4:$C$100,"Yes, but integration needed",Checklist_Governance!$D$4:$D$100)</f>
        <v>0</v>
      </c>
      <c r="E19" s="61">
        <f>SUMIF(Checklist_Governance!$C$4:$C$100,"No",Checklist_Governance!$D$4:$D$100)</f>
        <v>0</v>
      </c>
      <c r="F19" s="61">
        <f>SUMIF(Checklist_Governance!$C$4:$C$100,"No, but planned",Checklist_Governance!$D$4:$D$100)</f>
        <v>0</v>
      </c>
      <c r="G19" s="61">
        <f>SUM(C19:F19)</f>
        <v>0</v>
      </c>
      <c r="H19" s="88" t="e">
        <f t="shared" si="4"/>
        <v>#DIV/0!</v>
      </c>
    </row>
    <row r="20" spans="2:8">
      <c r="B20" s="89" t="s">
        <v>813</v>
      </c>
      <c r="C20" s="90">
        <f>SUM(C16:C19)</f>
        <v>0</v>
      </c>
      <c r="D20" s="90">
        <f t="shared" ref="D20:G20" si="5">SUM(D16:D19)</f>
        <v>0</v>
      </c>
      <c r="E20" s="90">
        <f t="shared" si="5"/>
        <v>0</v>
      </c>
      <c r="F20" s="90">
        <f t="shared" si="5"/>
        <v>0</v>
      </c>
      <c r="G20" s="91">
        <f t="shared" si="5"/>
        <v>0</v>
      </c>
      <c r="H20" s="88"/>
    </row>
    <row r="21" spans="2:8">
      <c r="B21" s="92" t="s">
        <v>810</v>
      </c>
      <c r="C21" s="93" t="e">
        <f>C20/$G$20</f>
        <v>#DIV/0!</v>
      </c>
      <c r="D21" s="93" t="e">
        <f t="shared" ref="D21:G21" si="6">D20/$G$20</f>
        <v>#DIV/0!</v>
      </c>
      <c r="E21" s="93" t="e">
        <f t="shared" si="6"/>
        <v>#DIV/0!</v>
      </c>
      <c r="F21" s="93" t="e">
        <f t="shared" si="6"/>
        <v>#DIV/0!</v>
      </c>
      <c r="G21" s="94" t="e">
        <f t="shared" si="6"/>
        <v>#DIV/0!</v>
      </c>
      <c r="H21" s="88"/>
    </row>
    <row r="25" spans="2:8" ht="15" thickBot="1">
      <c r="B25" s="58" t="s">
        <v>812</v>
      </c>
      <c r="C25" s="59" t="s">
        <v>754</v>
      </c>
      <c r="D25" s="59" t="s">
        <v>755</v>
      </c>
      <c r="E25" s="59" t="s">
        <v>757</v>
      </c>
      <c r="F25" s="59" t="s">
        <v>785</v>
      </c>
      <c r="G25" s="59" t="s">
        <v>786</v>
      </c>
      <c r="H25" s="59" t="s">
        <v>810</v>
      </c>
    </row>
    <row r="26" spans="2:8" ht="15.6" thickTop="1" thickBot="1">
      <c r="B26" s="62" t="s">
        <v>778</v>
      </c>
      <c r="C26" s="61">
        <f>SUMIF(Checklist_General_Information!$I$4:$I$100,"Yes",Checklist_General_Information!$J$4:$J$100)</f>
        <v>0</v>
      </c>
      <c r="D26" s="61">
        <f>SUMIF(Checklist_General_Information!$I$4:$I$100,"Yes, but integration needed",Checklist_General_Information!$J$4:$J$100)</f>
        <v>0</v>
      </c>
      <c r="E26" s="61">
        <f>SUMIF(Checklist_General_Information!$I$4:$I$100,"No",Checklist_General_Information!$J$4:$J$100)</f>
        <v>0</v>
      </c>
      <c r="F26" s="61">
        <f>SUMIF(Checklist_General_Information!$I$4:$I$100,"No, but planned",Checklist_General_Information!$J$4:$J$100)</f>
        <v>0</v>
      </c>
      <c r="G26" s="61">
        <f>SUM(C26:F26)</f>
        <v>0</v>
      </c>
      <c r="H26" s="88" t="e">
        <f t="shared" ref="H26:H29" si="7">G26/$G$11</f>
        <v>#DIV/0!</v>
      </c>
    </row>
    <row r="27" spans="2:8" ht="15.6" thickTop="1" thickBot="1">
      <c r="B27" s="62" t="s">
        <v>780</v>
      </c>
      <c r="C27" s="61">
        <f>SUMIF(Checklist_Environment!$I$4:$I$100,"Yes",Checklist_Environment!$J$4:$J$100)</f>
        <v>0</v>
      </c>
      <c r="D27" s="61">
        <f>SUMIF(Checklist_Environment!$I$4:$I$100,"Yes, but integration needed",Checklist_Environment!$J$4:$J$100)</f>
        <v>0</v>
      </c>
      <c r="E27" s="61">
        <f>SUMIF(Checklist_Environment!$I$4:$I$100,"No",Checklist_Environment!$J$4:$J$100)</f>
        <v>0</v>
      </c>
      <c r="F27" s="61">
        <f>SUMIF(Checklist_Environment!$I$4:$I$100,"No, but planned",Checklist_Environment!$J$4:$J$100)</f>
        <v>0</v>
      </c>
      <c r="G27" s="61">
        <f>SUM(C27:F27)</f>
        <v>0</v>
      </c>
      <c r="H27" s="88" t="e">
        <f t="shared" si="7"/>
        <v>#DIV/0!</v>
      </c>
    </row>
    <row r="28" spans="2:8" ht="15.6" thickTop="1" thickBot="1">
      <c r="B28" s="62" t="s">
        <v>782</v>
      </c>
      <c r="C28" s="61">
        <f>SUMIF(Checklist_Social!$I$4:$I$100,"Yes",Checklist_Social!$J$4:$J$100)</f>
        <v>0</v>
      </c>
      <c r="D28" s="61">
        <f>SUMIF(Checklist_Social!$I$4:$I$100,"Yes, but integration needed",Checklist_Social!$J$4:$J$100)</f>
        <v>0</v>
      </c>
      <c r="E28" s="61">
        <f>SUMIF(Checklist_Social!$I$4:$I$100,"No",Checklist_Social!$J$4:$J$100)</f>
        <v>0</v>
      </c>
      <c r="F28" s="61">
        <f>SUMIF(Checklist_Social!$I$4:$I$100,"No, but planned",Checklist_Social!$J$4:$J$100)</f>
        <v>0</v>
      </c>
      <c r="G28" s="61">
        <f>SUM(C28:F28)</f>
        <v>0</v>
      </c>
      <c r="H28" s="88" t="e">
        <f t="shared" si="7"/>
        <v>#DIV/0!</v>
      </c>
    </row>
    <row r="29" spans="2:8" ht="15" thickTop="1">
      <c r="B29" s="62" t="s">
        <v>784</v>
      </c>
      <c r="C29" s="61">
        <f>SUMIF(Checklist_Governance!$I$4:$I$100,"Yes",Checklist_Governance!$J$4:$J$100)</f>
        <v>0</v>
      </c>
      <c r="D29" s="61">
        <f>SUMIF(Checklist_Governance!$I$4:$I$100,"Yes, but integraion needed",Checklist_Governance!$J$4:$J$100)</f>
        <v>0</v>
      </c>
      <c r="E29" s="61">
        <f>SUMIF(Checklist_Governance!$I$4:$I$100,"No",Checklist_Governance!$J$4:$J$100)</f>
        <v>0</v>
      </c>
      <c r="F29" s="61">
        <f>SUMIF(Checklist_Governance!$I$4:$I$100,"No, but planned",Checklist_Governance!$J$4:$J$100)</f>
        <v>0</v>
      </c>
      <c r="G29" s="61">
        <f>SUM(C29:F29)</f>
        <v>0</v>
      </c>
      <c r="H29" s="88" t="e">
        <f t="shared" si="7"/>
        <v>#DIV/0!</v>
      </c>
    </row>
    <row r="30" spans="2:8">
      <c r="B30" s="89" t="s">
        <v>813</v>
      </c>
      <c r="C30" s="90">
        <f>SUM(C26:C29)</f>
        <v>0</v>
      </c>
      <c r="D30" s="90">
        <f t="shared" ref="D30:G30" si="8">SUM(D26:D29)</f>
        <v>0</v>
      </c>
      <c r="E30" s="90">
        <f t="shared" si="8"/>
        <v>0</v>
      </c>
      <c r="F30" s="90">
        <f t="shared" si="8"/>
        <v>0</v>
      </c>
      <c r="G30" s="91">
        <f t="shared" si="8"/>
        <v>0</v>
      </c>
      <c r="H30" s="88"/>
    </row>
    <row r="31" spans="2:8">
      <c r="B31" s="92" t="s">
        <v>810</v>
      </c>
      <c r="C31" s="93" t="e">
        <f>C30/$G$30</f>
        <v>#DIV/0!</v>
      </c>
      <c r="D31" s="93" t="e">
        <f t="shared" ref="D31:G31" si="9">D30/$G$30</f>
        <v>#DIV/0!</v>
      </c>
      <c r="E31" s="93" t="e">
        <f t="shared" si="9"/>
        <v>#DIV/0!</v>
      </c>
      <c r="F31" s="93" t="e">
        <f t="shared" si="9"/>
        <v>#DIV/0!</v>
      </c>
      <c r="G31" s="94" t="e">
        <f t="shared" si="9"/>
        <v>#DIV/0!</v>
      </c>
      <c r="H31" s="88"/>
    </row>
    <row r="34" spans="2:8" ht="15" thickBot="1">
      <c r="B34" s="58" t="s">
        <v>814</v>
      </c>
      <c r="C34" s="59" t="s">
        <v>754</v>
      </c>
      <c r="D34" s="59" t="s">
        <v>755</v>
      </c>
      <c r="E34" s="59" t="s">
        <v>757</v>
      </c>
      <c r="F34" s="59" t="s">
        <v>785</v>
      </c>
      <c r="G34" s="58" t="s">
        <v>786</v>
      </c>
    </row>
    <row r="35" spans="2:8" ht="15.6" thickTop="1" thickBot="1">
      <c r="B35" s="60" t="s">
        <v>777</v>
      </c>
      <c r="C35" s="61">
        <f>SUMIF(Checklist_General_Information!$C$4:$C$100,"Yes",Checklist_General_Information!$D$4:$D$100)</f>
        <v>0</v>
      </c>
      <c r="D35" s="61">
        <f>SUMIF(Checklist_General_Information!$C$4:$C$100,"Yes, but integration needed",Checklist_General_Information!$D$4:$D$100)</f>
        <v>0</v>
      </c>
      <c r="E35" s="61">
        <f>SUMIF(Checklist_General_Information!$C$4:$C$100,"No",Checklist_General_Information!$D$4:$D$100)</f>
        <v>0</v>
      </c>
      <c r="F35" s="61">
        <f>SUMIF(Checklist_General_Information!$C$4:$C$100,"No, but planned",Checklist_General_Information!$D$4:$D$100)</f>
        <v>0</v>
      </c>
      <c r="G35">
        <f>SUM(C35:F35)</f>
        <v>0</v>
      </c>
      <c r="H35" s="88" t="e">
        <f>G35/$G$37</f>
        <v>#DIV/0!</v>
      </c>
    </row>
    <row r="36" spans="2:8" ht="15" thickTop="1">
      <c r="B36" s="62" t="s">
        <v>778</v>
      </c>
      <c r="C36" s="61">
        <f>SUMIF(Checklist_General_Information!$I$4:$I$100,"Yes",Checklist_General_Information!$J$4:$J$100)</f>
        <v>0</v>
      </c>
      <c r="D36" s="61">
        <f>SUMIF(Checklist_General_Information!$I$4:$I$100,"Yes, but integration needed",Checklist_General_Information!$J$4:$J$100)</f>
        <v>0</v>
      </c>
      <c r="E36" s="61">
        <f>SUMIF(Checklist_General_Information!$I$4:$I$100,"No",Checklist_General_Information!$J$4:$J$100)</f>
        <v>0</v>
      </c>
      <c r="F36" s="61">
        <f>SUMIF(Checklist_General_Information!$I$4:$I$100,"No, but planned",Checklist_General_Information!$J$4:$J$100)</f>
        <v>0</v>
      </c>
      <c r="G36">
        <f>SUM(C36:F36)</f>
        <v>0</v>
      </c>
      <c r="H36" s="88" t="e">
        <f t="shared" ref="H36:H37" si="10">G36/$G$37</f>
        <v>#DIV/0!</v>
      </c>
    </row>
    <row r="37" spans="2:8">
      <c r="B37" t="s">
        <v>813</v>
      </c>
      <c r="C37">
        <f>SUM(C35:C36)</f>
        <v>0</v>
      </c>
      <c r="D37">
        <f t="shared" ref="D37:F37" si="11">SUM(D35:D36)</f>
        <v>0</v>
      </c>
      <c r="E37">
        <f t="shared" si="11"/>
        <v>0</v>
      </c>
      <c r="F37">
        <f t="shared" si="11"/>
        <v>0</v>
      </c>
      <c r="G37">
        <f>SUM(C37:F37)</f>
        <v>0</v>
      </c>
      <c r="H37" s="88" t="e">
        <f t="shared" si="10"/>
        <v>#DIV/0!</v>
      </c>
    </row>
    <row r="39" spans="2:8" ht="15" thickBot="1">
      <c r="B39" s="58" t="s">
        <v>815</v>
      </c>
      <c r="C39" s="59" t="s">
        <v>754</v>
      </c>
      <c r="D39" s="59" t="s">
        <v>755</v>
      </c>
      <c r="E39" s="59" t="s">
        <v>757</v>
      </c>
      <c r="F39" s="59" t="s">
        <v>785</v>
      </c>
      <c r="G39" s="59" t="s">
        <v>786</v>
      </c>
      <c r="H39" s="59" t="s">
        <v>810</v>
      </c>
    </row>
    <row r="40" spans="2:8" ht="15.6" thickTop="1" thickBot="1">
      <c r="B40" s="62" t="s">
        <v>779</v>
      </c>
      <c r="C40" s="61">
        <f>SUMIF(Checklist_Environment!$C$4:$C$100,"Yes",Checklist_Environment!$D$4:$D$100)</f>
        <v>0</v>
      </c>
      <c r="D40" s="61">
        <f>SUMIF(Checklist_Environment!$C$4:$C$100,"Yes, but integration needed",Checklist_Environment!$D$4:$D$100)</f>
        <v>0</v>
      </c>
      <c r="E40" s="61">
        <f>SUMIF(Checklist_Environment!$C$4:$C$100,"No",Checklist_Environment!$D$4:$D$100)</f>
        <v>0</v>
      </c>
      <c r="F40" s="61">
        <f>SUMIF(Checklist_Environment!$C$4:$C$100,"No, but planned",Checklist_Environment!$D$4:$D$100)</f>
        <v>0</v>
      </c>
      <c r="G40" s="61">
        <f>SUM(C40:F40)</f>
        <v>0</v>
      </c>
      <c r="H40" s="88" t="e">
        <f>G40/$G$42</f>
        <v>#DIV/0!</v>
      </c>
    </row>
    <row r="41" spans="2:8" ht="15" thickTop="1">
      <c r="B41" s="62" t="s">
        <v>780</v>
      </c>
      <c r="C41" s="61">
        <f>SUMIF(Checklist_Environment!$I$4:$I$100,"Yes",Checklist_Environment!$J$4:$J$100)</f>
        <v>0</v>
      </c>
      <c r="D41" s="61">
        <f>SUMIF(Checklist_Environment!$I$4:$I$100,"Yes, but integration needed",Checklist_Environment!$J$4:$J$100)</f>
        <v>0</v>
      </c>
      <c r="E41" s="61">
        <f>SUMIF(Checklist_Environment!$I$4:$I$100,"No",Checklist_Environment!$J$4:$J$100)</f>
        <v>0</v>
      </c>
      <c r="F41" s="61">
        <f>SUMIF(Checklist_Environment!$I$4:$I$100,"No, but planned",Checklist_Environment!$J$4:$J$100)</f>
        <v>0</v>
      </c>
      <c r="G41" s="61">
        <f>SUM(C41:F41)</f>
        <v>0</v>
      </c>
      <c r="H41" s="88" t="e">
        <f>G41/$G$42</f>
        <v>#DIV/0!</v>
      </c>
    </row>
    <row r="42" spans="2:8">
      <c r="B42" t="s">
        <v>813</v>
      </c>
      <c r="C42">
        <f>SUM(C40:C41)</f>
        <v>0</v>
      </c>
      <c r="D42">
        <f t="shared" ref="D42:F42" si="12">SUM(D40:D41)</f>
        <v>0</v>
      </c>
      <c r="E42">
        <f t="shared" si="12"/>
        <v>0</v>
      </c>
      <c r="F42">
        <f t="shared" si="12"/>
        <v>0</v>
      </c>
      <c r="G42">
        <f>SUM(G40:G41)</f>
        <v>0</v>
      </c>
      <c r="H42" s="88" t="e">
        <f>G42/$G$42</f>
        <v>#DIV/0!</v>
      </c>
    </row>
    <row r="44" spans="2:8" ht="15" thickBot="1">
      <c r="B44" s="58" t="s">
        <v>816</v>
      </c>
      <c r="C44" s="59" t="s">
        <v>754</v>
      </c>
      <c r="D44" s="59" t="s">
        <v>755</v>
      </c>
      <c r="E44" s="59" t="s">
        <v>757</v>
      </c>
      <c r="F44" s="59" t="s">
        <v>785</v>
      </c>
      <c r="G44" s="59" t="s">
        <v>786</v>
      </c>
      <c r="H44" s="59" t="s">
        <v>810</v>
      </c>
    </row>
    <row r="45" spans="2:8" ht="15.6" thickTop="1" thickBot="1">
      <c r="B45" s="62" t="s">
        <v>781</v>
      </c>
      <c r="C45" s="61">
        <f>SUMIF(Checklist_Social!$C$4:$C$100,"Yes",Checklist_Social!$D$4:$D$100)</f>
        <v>0</v>
      </c>
      <c r="D45" s="61">
        <f>SUMIF(Checklist_Social!$C$4:$C$100,"Yes, but integration needed",Checklist_Social!$D$4:$D$100)</f>
        <v>0</v>
      </c>
      <c r="E45" s="61">
        <f>SUMIF(Checklist_Social!$C$4:$C$100,"No",Checklist_Social!$D$4:$D$100)</f>
        <v>0</v>
      </c>
      <c r="F45" s="61">
        <f>SUMIF(Checklist_Social!$C$4:$C$100,"No, but planned",Checklist_Social!$D$4:$D$100)</f>
        <v>0</v>
      </c>
      <c r="G45" s="61">
        <f>SUM(C45:F45)</f>
        <v>0</v>
      </c>
      <c r="H45" s="88" t="e">
        <f>G45/$G$47</f>
        <v>#DIV/0!</v>
      </c>
    </row>
    <row r="46" spans="2:8" ht="15" thickTop="1">
      <c r="B46" s="62" t="s">
        <v>782</v>
      </c>
      <c r="C46" s="61">
        <f>SUMIF(Checklist_Social!$I$4:$I$100,"Yes",Checklist_Social!$J$4:$J$100)</f>
        <v>0</v>
      </c>
      <c r="D46" s="61">
        <f>SUMIF(Checklist_Social!$I$4:$I$100,"Yes, but integration needed",Checklist_Social!$J$4:$J$100)</f>
        <v>0</v>
      </c>
      <c r="E46" s="61">
        <f>SUMIF(Checklist_Social!$I$4:$I$100,"No",Checklist_Social!$J$4:$J$100)</f>
        <v>0</v>
      </c>
      <c r="F46" s="61">
        <f>SUMIF(Checklist_Social!$I$4:$I$100,"No, but planned",Checklist_Social!$J$4:$J$100)</f>
        <v>0</v>
      </c>
      <c r="G46" s="61">
        <f>SUM(C46:F46)</f>
        <v>0</v>
      </c>
      <c r="H46" s="88" t="e">
        <f t="shared" ref="H46:H47" si="13">G46/$G$47</f>
        <v>#DIV/0!</v>
      </c>
    </row>
    <row r="47" spans="2:8">
      <c r="B47" t="s">
        <v>813</v>
      </c>
      <c r="C47">
        <f>SUM(C45:C46)</f>
        <v>0</v>
      </c>
      <c r="D47">
        <f t="shared" ref="D47:G47" si="14">SUM(D45:D46)</f>
        <v>0</v>
      </c>
      <c r="E47">
        <f t="shared" si="14"/>
        <v>0</v>
      </c>
      <c r="F47">
        <f t="shared" si="14"/>
        <v>0</v>
      </c>
      <c r="G47">
        <f t="shared" si="14"/>
        <v>0</v>
      </c>
      <c r="H47" s="88" t="e">
        <f t="shared" si="13"/>
        <v>#DIV/0!</v>
      </c>
    </row>
    <row r="49" spans="2:8" ht="15" thickBot="1">
      <c r="B49" s="58" t="s">
        <v>817</v>
      </c>
      <c r="C49" s="59" t="s">
        <v>754</v>
      </c>
      <c r="D49" s="59" t="s">
        <v>755</v>
      </c>
      <c r="E49" s="59" t="s">
        <v>757</v>
      </c>
      <c r="F49" s="59" t="s">
        <v>785</v>
      </c>
      <c r="G49" s="59" t="s">
        <v>786</v>
      </c>
      <c r="H49" s="59" t="s">
        <v>810</v>
      </c>
    </row>
    <row r="50" spans="2:8" ht="15.6" thickTop="1" thickBot="1">
      <c r="B50" s="62" t="s">
        <v>783</v>
      </c>
      <c r="C50" s="61">
        <f>SUMIF(Checklist_Governance!$C$4:$C$100,"Yes",Checklist_Governance!$D$4:$D$100)</f>
        <v>0</v>
      </c>
      <c r="D50" s="61">
        <f>SUMIF(Checklist_Governance!$C$4:$C$100,"Yes, but integration needed",Checklist_Governance!$D$4:$D$100)</f>
        <v>0</v>
      </c>
      <c r="E50" s="61">
        <f>SUMIF(Checklist_Governance!$C$4:$C$100,"No",Checklist_Governance!$D$4:$D$100)</f>
        <v>0</v>
      </c>
      <c r="F50" s="61">
        <f>SUMIF(Checklist_Governance!$C$4:$C$100,"No, but planned",Checklist_Governance!$D$4:$D$100)</f>
        <v>0</v>
      </c>
      <c r="G50" s="61">
        <f>SUM(C50:F50)</f>
        <v>0</v>
      </c>
      <c r="H50" s="88" t="e">
        <f>G50/$G$52</f>
        <v>#DIV/0!</v>
      </c>
    </row>
    <row r="51" spans="2:8" ht="15" thickTop="1">
      <c r="B51" s="62" t="s">
        <v>784</v>
      </c>
      <c r="C51" s="61">
        <f>SUMIF(Checklist_Governance!$I$4:$I$100,"Yes",Checklist_Governance!$J$4:$J$100)</f>
        <v>0</v>
      </c>
      <c r="D51" s="61">
        <f>SUMIF(Checklist_Governance!$I$4:$I$100,"Yes, but integraion needed",Checklist_Governance!$J$4:$J$100)</f>
        <v>0</v>
      </c>
      <c r="E51" s="61">
        <f>SUMIF(Checklist_Governance!$I$4:$I$100,"No",Checklist_Governance!$J$4:$J$100)</f>
        <v>0</v>
      </c>
      <c r="F51" s="61">
        <f>SUMIF(Checklist_Governance!$I$4:$I$100,"No, but planned",Checklist_Governance!$J$4:$J$100)</f>
        <v>0</v>
      </c>
      <c r="G51" s="61">
        <f>SUM(C51:F51)</f>
        <v>0</v>
      </c>
      <c r="H51" s="88" t="e">
        <f>G51/$G$52</f>
        <v>#DIV/0!</v>
      </c>
    </row>
    <row r="52" spans="2:8">
      <c r="B52" t="s">
        <v>813</v>
      </c>
      <c r="C52">
        <f>SUM(C50:C51)</f>
        <v>0</v>
      </c>
      <c r="D52">
        <f t="shared" ref="D52:G52" si="15">SUM(D50:D51)</f>
        <v>0</v>
      </c>
      <c r="E52">
        <f t="shared" si="15"/>
        <v>0</v>
      </c>
      <c r="F52">
        <f t="shared" si="15"/>
        <v>0</v>
      </c>
      <c r="G52">
        <f t="shared" si="15"/>
        <v>0</v>
      </c>
      <c r="H52" s="88" t="e">
        <f>G52/$G$52</f>
        <v>#DIV/0!</v>
      </c>
    </row>
  </sheetData>
  <phoneticPr fontId="7"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8</vt:i4>
      </vt:variant>
    </vt:vector>
  </HeadingPairs>
  <TitlesOfParts>
    <vt:vector size="8" baseType="lpstr">
      <vt:lpstr>Sheet2</vt:lpstr>
      <vt:lpstr>Tables </vt:lpstr>
      <vt:lpstr>Support</vt:lpstr>
      <vt:lpstr>Checklist_General_Information</vt:lpstr>
      <vt:lpstr>Checklist_Environment</vt:lpstr>
      <vt:lpstr>Checklist_Governance</vt:lpstr>
      <vt:lpstr>Checklist_Social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Ilaria Mangiantini</dc:creator>
  <cp:lastModifiedBy>Ilaria Mangiantini</cp:lastModifiedBy>
  <dcterms:created xsi:type="dcterms:W3CDTF">2025-03-05T10:15:42Z</dcterms:created>
  <dcterms:modified xsi:type="dcterms:W3CDTF">2025-09-02T14:51:57Z</dcterms:modified>
</cp:coreProperties>
</file>